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B\SB PF\Portfolio\"/>
    </mc:Choice>
  </mc:AlternateContent>
  <xr:revisionPtr revIDLastSave="0" documentId="13_ncr:1_{6001B430-5D03-4C80-8045-9CB31EAC2921}" xr6:coauthVersionLast="47" xr6:coauthVersionMax="47" xr10:uidLastSave="{00000000-0000-0000-0000-000000000000}"/>
  <bookViews>
    <workbookView xWindow="-120" yWindow="-120" windowWidth="38640" windowHeight="21120" tabRatio="671" xr2:uid="{46345C62-E13F-41B4-85D3-D187046F34E6}"/>
  </bookViews>
  <sheets>
    <sheet name="General Calendar" sheetId="7" r:id="rId1"/>
    <sheet name="Commitments &amp; Ownership Matrix" sheetId="1" r:id="rId2"/>
    <sheet name="Detailed Tasks" sheetId="11" r:id="rId3"/>
    <sheet name="Schedules&gt;&gt;" sheetId="12" r:id="rId4"/>
    <sheet name="Date master" sheetId="8" r:id="rId5"/>
    <sheet name="Categories" sheetId="4" r:id="rId6"/>
  </sheets>
  <definedNames>
    <definedName name="_xlnm._FilterDatabase" localSheetId="1" hidden="1">'Commitments &amp; Ownership Matrix'!$B$5:$J$27</definedName>
    <definedName name="_xlnm._FilterDatabase" localSheetId="4" hidden="1">'Date master'!$B$1:$I$915</definedName>
    <definedName name="_xlnm._FilterDatabase" localSheetId="2" hidden="1">'Detailed Tasks'!$B$5:$T$56</definedName>
    <definedName name="Slicer_Month">#N/A</definedName>
    <definedName name="Slicer_Year">#N/A</definedName>
    <definedName name="start_day">#REF!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1" l="1"/>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I783" i="8"/>
  <c r="I784" i="8"/>
  <c r="I790" i="8"/>
  <c r="I791" i="8"/>
  <c r="I797" i="8"/>
  <c r="I798" i="8"/>
  <c r="I804" i="8"/>
  <c r="I805" i="8"/>
  <c r="I811" i="8"/>
  <c r="I812" i="8"/>
  <c r="I818" i="8"/>
  <c r="I819" i="8"/>
  <c r="I825" i="8"/>
  <c r="I826" i="8"/>
  <c r="I832" i="8"/>
  <c r="I833" i="8"/>
  <c r="I839" i="8"/>
  <c r="I840" i="8"/>
  <c r="I846" i="8"/>
  <c r="I847" i="8"/>
  <c r="I853" i="8"/>
  <c r="I854" i="8"/>
  <c r="I860" i="8"/>
  <c r="I861" i="8"/>
  <c r="I867" i="8"/>
  <c r="I868" i="8"/>
  <c r="I874" i="8"/>
  <c r="I875" i="8"/>
  <c r="I881" i="8"/>
  <c r="I882" i="8"/>
  <c r="I888" i="8"/>
  <c r="I889" i="8"/>
  <c r="I895" i="8"/>
  <c r="I896" i="8"/>
  <c r="I902" i="8"/>
  <c r="I903" i="8"/>
  <c r="I909" i="8"/>
  <c r="I910" i="8"/>
  <c r="B909" i="8"/>
  <c r="C909" i="8"/>
  <c r="D909" i="8"/>
  <c r="B910" i="8"/>
  <c r="C910" i="8"/>
  <c r="D910" i="8"/>
  <c r="B911" i="8"/>
  <c r="C911" i="8"/>
  <c r="D911" i="8"/>
  <c r="B912" i="8"/>
  <c r="C912" i="8"/>
  <c r="D912" i="8"/>
  <c r="B913" i="8"/>
  <c r="C913" i="8"/>
  <c r="D913" i="8"/>
  <c r="B914" i="8"/>
  <c r="C914" i="8"/>
  <c r="D914" i="8"/>
  <c r="B915" i="8"/>
  <c r="C915" i="8"/>
  <c r="D915" i="8"/>
  <c r="B904" i="8"/>
  <c r="C904" i="8"/>
  <c r="D904" i="8"/>
  <c r="B905" i="8"/>
  <c r="C905" i="8"/>
  <c r="D905" i="8"/>
  <c r="B906" i="8"/>
  <c r="C906" i="8"/>
  <c r="D906" i="8"/>
  <c r="B907" i="8"/>
  <c r="C907" i="8"/>
  <c r="D907" i="8"/>
  <c r="B908" i="8"/>
  <c r="C908" i="8"/>
  <c r="D908" i="8"/>
  <c r="B897" i="8"/>
  <c r="C897" i="8"/>
  <c r="D897" i="8"/>
  <c r="B898" i="8"/>
  <c r="C898" i="8"/>
  <c r="D898" i="8"/>
  <c r="B899" i="8"/>
  <c r="C899" i="8"/>
  <c r="D899" i="8"/>
  <c r="B900" i="8"/>
  <c r="C900" i="8"/>
  <c r="D900" i="8"/>
  <c r="B901" i="8"/>
  <c r="C901" i="8"/>
  <c r="D901" i="8"/>
  <c r="B902" i="8"/>
  <c r="C902" i="8"/>
  <c r="D902" i="8"/>
  <c r="B903" i="8"/>
  <c r="C903" i="8"/>
  <c r="D903" i="8"/>
  <c r="B890" i="8"/>
  <c r="C890" i="8"/>
  <c r="D890" i="8"/>
  <c r="B891" i="8"/>
  <c r="C891" i="8"/>
  <c r="D891" i="8"/>
  <c r="B892" i="8"/>
  <c r="C892" i="8"/>
  <c r="D892" i="8"/>
  <c r="B893" i="8"/>
  <c r="C893" i="8"/>
  <c r="D893" i="8"/>
  <c r="B894" i="8"/>
  <c r="C894" i="8"/>
  <c r="D894" i="8"/>
  <c r="B895" i="8"/>
  <c r="C895" i="8"/>
  <c r="D895" i="8"/>
  <c r="B896" i="8"/>
  <c r="C896" i="8"/>
  <c r="D896" i="8"/>
  <c r="B876" i="8"/>
  <c r="C876" i="8"/>
  <c r="D876" i="8"/>
  <c r="B877" i="8"/>
  <c r="C877" i="8"/>
  <c r="D877" i="8"/>
  <c r="B878" i="8"/>
  <c r="C878" i="8"/>
  <c r="D878" i="8"/>
  <c r="B879" i="8"/>
  <c r="C879" i="8"/>
  <c r="D879" i="8"/>
  <c r="B880" i="8"/>
  <c r="C880" i="8"/>
  <c r="D880" i="8"/>
  <c r="B881" i="8"/>
  <c r="C881" i="8"/>
  <c r="D881" i="8"/>
  <c r="B882" i="8"/>
  <c r="C882" i="8"/>
  <c r="D882" i="8"/>
  <c r="B883" i="8"/>
  <c r="C883" i="8"/>
  <c r="D883" i="8"/>
  <c r="B884" i="8"/>
  <c r="C884" i="8"/>
  <c r="D884" i="8"/>
  <c r="B885" i="8"/>
  <c r="C885" i="8"/>
  <c r="D885" i="8"/>
  <c r="B886" i="8"/>
  <c r="C886" i="8"/>
  <c r="D886" i="8"/>
  <c r="B887" i="8"/>
  <c r="C887" i="8"/>
  <c r="D887" i="8"/>
  <c r="B888" i="8"/>
  <c r="C888" i="8"/>
  <c r="D888" i="8"/>
  <c r="B889" i="8"/>
  <c r="C889" i="8"/>
  <c r="D889"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C863" i="8"/>
  <c r="D863" i="8"/>
  <c r="C864" i="8"/>
  <c r="D864" i="8"/>
  <c r="C865" i="8"/>
  <c r="D865" i="8"/>
  <c r="C866" i="8"/>
  <c r="D866" i="8"/>
  <c r="C867" i="8"/>
  <c r="D867" i="8"/>
  <c r="C868" i="8"/>
  <c r="D868" i="8"/>
  <c r="C869" i="8"/>
  <c r="D869" i="8"/>
  <c r="C870" i="8"/>
  <c r="D870" i="8"/>
  <c r="C871" i="8"/>
  <c r="D871" i="8"/>
  <c r="C872" i="8"/>
  <c r="D872" i="8"/>
  <c r="C873" i="8"/>
  <c r="D873" i="8"/>
  <c r="C874" i="8"/>
  <c r="D874" i="8"/>
  <c r="C875" i="8"/>
  <c r="D875" i="8"/>
  <c r="C845" i="8"/>
  <c r="D845" i="8"/>
  <c r="C846" i="8"/>
  <c r="D846" i="8"/>
  <c r="C847" i="8"/>
  <c r="D847" i="8"/>
  <c r="C848" i="8"/>
  <c r="D848" i="8"/>
  <c r="C849" i="8"/>
  <c r="D849" i="8"/>
  <c r="C850" i="8"/>
  <c r="D850" i="8"/>
  <c r="C851" i="8"/>
  <c r="D851" i="8"/>
  <c r="C852" i="8"/>
  <c r="D852" i="8"/>
  <c r="C853" i="8"/>
  <c r="D853" i="8"/>
  <c r="C854" i="8"/>
  <c r="D854" i="8"/>
  <c r="C855" i="8"/>
  <c r="D855" i="8"/>
  <c r="C856" i="8"/>
  <c r="D856" i="8"/>
  <c r="C857" i="8"/>
  <c r="D857" i="8"/>
  <c r="C858" i="8"/>
  <c r="D858" i="8"/>
  <c r="C859" i="8"/>
  <c r="D859" i="8"/>
  <c r="C860" i="8"/>
  <c r="D860" i="8"/>
  <c r="C861" i="8"/>
  <c r="D861" i="8"/>
  <c r="C862" i="8"/>
  <c r="D862" i="8"/>
  <c r="C782" i="8"/>
  <c r="D782" i="8"/>
  <c r="C783" i="8"/>
  <c r="D783" i="8"/>
  <c r="C784" i="8"/>
  <c r="D784" i="8"/>
  <c r="C785" i="8"/>
  <c r="D785" i="8"/>
  <c r="C786" i="8"/>
  <c r="D786" i="8"/>
  <c r="C787" i="8"/>
  <c r="D787" i="8"/>
  <c r="C788" i="8"/>
  <c r="D788" i="8"/>
  <c r="C789" i="8"/>
  <c r="D789" i="8"/>
  <c r="C790" i="8"/>
  <c r="D790" i="8"/>
  <c r="C791" i="8"/>
  <c r="D791" i="8"/>
  <c r="C792" i="8"/>
  <c r="D792" i="8"/>
  <c r="C793" i="8"/>
  <c r="D793" i="8"/>
  <c r="C794" i="8"/>
  <c r="D794" i="8"/>
  <c r="C795" i="8"/>
  <c r="D795" i="8"/>
  <c r="C796" i="8"/>
  <c r="D796" i="8"/>
  <c r="C797" i="8"/>
  <c r="D797" i="8"/>
  <c r="C798" i="8"/>
  <c r="D798" i="8"/>
  <c r="C799" i="8"/>
  <c r="D799" i="8"/>
  <c r="C800" i="8"/>
  <c r="D800" i="8"/>
  <c r="C801" i="8"/>
  <c r="D801" i="8"/>
  <c r="C802" i="8"/>
  <c r="D802" i="8"/>
  <c r="C803" i="8"/>
  <c r="D803" i="8"/>
  <c r="C804" i="8"/>
  <c r="D804" i="8"/>
  <c r="C805" i="8"/>
  <c r="D805" i="8"/>
  <c r="C806" i="8"/>
  <c r="D806" i="8"/>
  <c r="C807" i="8"/>
  <c r="D807" i="8"/>
  <c r="C808" i="8"/>
  <c r="D808" i="8"/>
  <c r="C809" i="8"/>
  <c r="D809" i="8"/>
  <c r="C810" i="8"/>
  <c r="D810" i="8"/>
  <c r="C811" i="8"/>
  <c r="D811" i="8"/>
  <c r="C812" i="8"/>
  <c r="D812" i="8"/>
  <c r="C813" i="8"/>
  <c r="D813" i="8"/>
  <c r="C814" i="8"/>
  <c r="D814" i="8"/>
  <c r="C815" i="8"/>
  <c r="D815" i="8"/>
  <c r="C816" i="8"/>
  <c r="D816" i="8"/>
  <c r="C817" i="8"/>
  <c r="D817" i="8"/>
  <c r="C818" i="8"/>
  <c r="D818" i="8"/>
  <c r="C819" i="8"/>
  <c r="D819" i="8"/>
  <c r="C820" i="8"/>
  <c r="D820" i="8"/>
  <c r="C821" i="8"/>
  <c r="D821" i="8"/>
  <c r="C822" i="8"/>
  <c r="D822" i="8"/>
  <c r="C823" i="8"/>
  <c r="D823" i="8"/>
  <c r="C824" i="8"/>
  <c r="D824" i="8"/>
  <c r="C825" i="8"/>
  <c r="D825" i="8"/>
  <c r="C826" i="8"/>
  <c r="D826" i="8"/>
  <c r="C827" i="8"/>
  <c r="D827" i="8"/>
  <c r="C828" i="8"/>
  <c r="D828" i="8"/>
  <c r="C829" i="8"/>
  <c r="D829" i="8"/>
  <c r="C830" i="8"/>
  <c r="D830" i="8"/>
  <c r="C831" i="8"/>
  <c r="D831" i="8"/>
  <c r="C832" i="8"/>
  <c r="D832" i="8"/>
  <c r="C833" i="8"/>
  <c r="D833" i="8"/>
  <c r="C834" i="8"/>
  <c r="D834" i="8"/>
  <c r="C835" i="8"/>
  <c r="D835" i="8"/>
  <c r="C836" i="8"/>
  <c r="D836" i="8"/>
  <c r="C837" i="8"/>
  <c r="D837" i="8"/>
  <c r="C838" i="8"/>
  <c r="D838" i="8"/>
  <c r="C839" i="8"/>
  <c r="D839" i="8"/>
  <c r="C840" i="8"/>
  <c r="D840" i="8"/>
  <c r="C841" i="8"/>
  <c r="D841" i="8"/>
  <c r="C842" i="8"/>
  <c r="D842" i="8"/>
  <c r="C843" i="8"/>
  <c r="D843" i="8"/>
  <c r="C844" i="8"/>
  <c r="D844" i="8"/>
  <c r="I5" i="8"/>
  <c r="I6" i="8"/>
  <c r="I7" i="8"/>
  <c r="I13" i="8"/>
  <c r="I14" i="8"/>
  <c r="I20" i="8"/>
  <c r="I21" i="8"/>
  <c r="I27" i="8"/>
  <c r="I28" i="8"/>
  <c r="I34" i="8"/>
  <c r="I35" i="8"/>
  <c r="I41" i="8"/>
  <c r="I42" i="8"/>
  <c r="I48" i="8"/>
  <c r="I49" i="8"/>
  <c r="I55" i="8"/>
  <c r="I56" i="8"/>
  <c r="I62" i="8"/>
  <c r="I63" i="8"/>
  <c r="I69" i="8"/>
  <c r="I70" i="8"/>
  <c r="I76" i="8"/>
  <c r="I77" i="8"/>
  <c r="I83" i="8"/>
  <c r="I84" i="8"/>
  <c r="I90" i="8"/>
  <c r="I91" i="8"/>
  <c r="I97" i="8"/>
  <c r="I98" i="8"/>
  <c r="I104" i="8"/>
  <c r="I105" i="8"/>
  <c r="I111" i="8"/>
  <c r="I112" i="8"/>
  <c r="I118" i="8"/>
  <c r="I119" i="8"/>
  <c r="I125" i="8"/>
  <c r="I126" i="8"/>
  <c r="I132" i="8"/>
  <c r="I133" i="8"/>
  <c r="I139" i="8"/>
  <c r="I140" i="8"/>
  <c r="I146" i="8"/>
  <c r="I147" i="8"/>
  <c r="I153" i="8"/>
  <c r="I154" i="8"/>
  <c r="I160" i="8"/>
  <c r="I161" i="8"/>
  <c r="I167" i="8"/>
  <c r="I168" i="8"/>
  <c r="I174" i="8"/>
  <c r="I175" i="8"/>
  <c r="I181" i="8"/>
  <c r="I182" i="8"/>
  <c r="I188" i="8"/>
  <c r="I189" i="8"/>
  <c r="I195" i="8"/>
  <c r="I196" i="8"/>
  <c r="I202" i="8"/>
  <c r="I203" i="8"/>
  <c r="I209" i="8"/>
  <c r="I210" i="8"/>
  <c r="I216" i="8"/>
  <c r="I217" i="8"/>
  <c r="I223" i="8"/>
  <c r="I224" i="8"/>
  <c r="I230" i="8"/>
  <c r="I231" i="8"/>
  <c r="I237" i="8"/>
  <c r="I238" i="8"/>
  <c r="I244" i="8"/>
  <c r="I245" i="8"/>
  <c r="I251" i="8"/>
  <c r="I252" i="8"/>
  <c r="I258" i="8"/>
  <c r="I259" i="8"/>
  <c r="I265" i="8"/>
  <c r="I266" i="8"/>
  <c r="I272" i="8"/>
  <c r="I273" i="8"/>
  <c r="I279" i="8"/>
  <c r="I280" i="8"/>
  <c r="I286" i="8"/>
  <c r="I287" i="8"/>
  <c r="I293" i="8"/>
  <c r="I294" i="8"/>
  <c r="I300" i="8"/>
  <c r="I301" i="8"/>
  <c r="I307" i="8"/>
  <c r="I308" i="8"/>
  <c r="I314" i="8"/>
  <c r="I315" i="8"/>
  <c r="I321" i="8"/>
  <c r="I322" i="8"/>
  <c r="I328" i="8"/>
  <c r="I329" i="8"/>
  <c r="I335" i="8"/>
  <c r="I336" i="8"/>
  <c r="I342" i="8"/>
  <c r="I343" i="8"/>
  <c r="I349" i="8"/>
  <c r="I350" i="8"/>
  <c r="I356" i="8"/>
  <c r="I357" i="8"/>
  <c r="I363" i="8"/>
  <c r="I364" i="8"/>
  <c r="I370" i="8"/>
  <c r="I371" i="8"/>
  <c r="I377" i="8"/>
  <c r="I378" i="8"/>
  <c r="I384" i="8"/>
  <c r="I385" i="8"/>
  <c r="I391" i="8"/>
  <c r="I392" i="8"/>
  <c r="I398" i="8"/>
  <c r="I399" i="8"/>
  <c r="I405" i="8"/>
  <c r="I406" i="8"/>
  <c r="I412" i="8"/>
  <c r="I413" i="8"/>
  <c r="I419" i="8"/>
  <c r="I420" i="8"/>
  <c r="I426" i="8"/>
  <c r="I427" i="8"/>
  <c r="I433" i="8"/>
  <c r="I434" i="8"/>
  <c r="I440" i="8"/>
  <c r="I441" i="8"/>
  <c r="I447" i="8"/>
  <c r="I448" i="8"/>
  <c r="I454" i="8"/>
  <c r="I455" i="8"/>
  <c r="I461" i="8"/>
  <c r="I462" i="8"/>
  <c r="I468" i="8"/>
  <c r="I469" i="8"/>
  <c r="I475" i="8"/>
  <c r="I476" i="8"/>
  <c r="I482" i="8"/>
  <c r="I483" i="8"/>
  <c r="I489" i="8"/>
  <c r="I490" i="8"/>
  <c r="I496" i="8"/>
  <c r="I497" i="8"/>
  <c r="I503" i="8"/>
  <c r="I504" i="8"/>
  <c r="I510" i="8"/>
  <c r="I511" i="8"/>
  <c r="I517" i="8"/>
  <c r="I518" i="8"/>
  <c r="I524" i="8"/>
  <c r="I525" i="8"/>
  <c r="I531" i="8"/>
  <c r="I532" i="8"/>
  <c r="I538" i="8"/>
  <c r="I539" i="8"/>
  <c r="I545" i="8"/>
  <c r="I546" i="8"/>
  <c r="I552" i="8"/>
  <c r="I553" i="8"/>
  <c r="I559" i="8"/>
  <c r="I560" i="8"/>
  <c r="I566" i="8"/>
  <c r="I567" i="8"/>
  <c r="I573" i="8"/>
  <c r="I574" i="8"/>
  <c r="I580" i="8"/>
  <c r="I581" i="8"/>
  <c r="I587" i="8"/>
  <c r="I588" i="8"/>
  <c r="I594" i="8"/>
  <c r="I595" i="8"/>
  <c r="I601" i="8"/>
  <c r="I602" i="8"/>
  <c r="I608" i="8"/>
  <c r="I609" i="8"/>
  <c r="I615" i="8"/>
  <c r="I616" i="8"/>
  <c r="I622" i="8"/>
  <c r="I623" i="8"/>
  <c r="I629" i="8"/>
  <c r="I630" i="8"/>
  <c r="I636" i="8"/>
  <c r="I637" i="8"/>
  <c r="I643" i="8"/>
  <c r="I644" i="8"/>
  <c r="I650" i="8"/>
  <c r="I651" i="8"/>
  <c r="I657" i="8"/>
  <c r="I658" i="8"/>
  <c r="I664" i="8"/>
  <c r="I665" i="8"/>
  <c r="I671" i="8"/>
  <c r="I672" i="8"/>
  <c r="I678" i="8"/>
  <c r="I679" i="8"/>
  <c r="I685" i="8"/>
  <c r="I686" i="8"/>
  <c r="I692" i="8"/>
  <c r="I693" i="8"/>
  <c r="I699" i="8"/>
  <c r="I700" i="8"/>
  <c r="I706" i="8"/>
  <c r="I707" i="8"/>
  <c r="I713" i="8"/>
  <c r="I714" i="8"/>
  <c r="I720" i="8"/>
  <c r="I721" i="8"/>
  <c r="I727" i="8"/>
  <c r="I728" i="8"/>
  <c r="I734" i="8"/>
  <c r="I735" i="8"/>
  <c r="I741" i="8"/>
  <c r="I742" i="8"/>
  <c r="I748" i="8"/>
  <c r="I749" i="8"/>
  <c r="I755" i="8"/>
  <c r="I756" i="8"/>
  <c r="I762" i="8"/>
  <c r="I763" i="8"/>
  <c r="I769" i="8"/>
  <c r="I770" i="8"/>
  <c r="I776" i="8"/>
  <c r="I777" i="8"/>
  <c r="C193" i="8"/>
  <c r="D193" i="8"/>
  <c r="C194" i="8"/>
  <c r="D194" i="8"/>
  <c r="C195" i="8"/>
  <c r="D195" i="8"/>
  <c r="C196" i="8"/>
  <c r="D196" i="8"/>
  <c r="C197" i="8"/>
  <c r="D197" i="8"/>
  <c r="C198" i="8"/>
  <c r="D198" i="8"/>
  <c r="C199" i="8"/>
  <c r="D199" i="8"/>
  <c r="C200" i="8"/>
  <c r="D200" i="8"/>
  <c r="C201" i="8"/>
  <c r="D201" i="8"/>
  <c r="C202" i="8"/>
  <c r="D202" i="8"/>
  <c r="C203" i="8"/>
  <c r="D203" i="8"/>
  <c r="C204" i="8"/>
  <c r="D204" i="8"/>
  <c r="C205" i="8"/>
  <c r="D205" i="8"/>
  <c r="C206" i="8"/>
  <c r="D206" i="8"/>
  <c r="C207" i="8"/>
  <c r="D207" i="8"/>
  <c r="C208" i="8"/>
  <c r="D208" i="8"/>
  <c r="C209" i="8"/>
  <c r="D209" i="8"/>
  <c r="C210" i="8"/>
  <c r="D210" i="8"/>
  <c r="C211" i="8"/>
  <c r="D211" i="8"/>
  <c r="C212" i="8"/>
  <c r="D212" i="8"/>
  <c r="C213" i="8"/>
  <c r="D213" i="8"/>
  <c r="C214" i="8"/>
  <c r="D214" i="8"/>
  <c r="C215" i="8"/>
  <c r="D215" i="8"/>
  <c r="C216" i="8"/>
  <c r="D216" i="8"/>
  <c r="C217" i="8"/>
  <c r="D217" i="8"/>
  <c r="C218" i="8"/>
  <c r="D218" i="8"/>
  <c r="C219" i="8"/>
  <c r="D219" i="8"/>
  <c r="C220" i="8"/>
  <c r="D220" i="8"/>
  <c r="C221" i="8"/>
  <c r="D221" i="8"/>
  <c r="C222" i="8"/>
  <c r="D222" i="8"/>
  <c r="C223" i="8"/>
  <c r="D223" i="8"/>
  <c r="C224" i="8"/>
  <c r="D224" i="8"/>
  <c r="C225" i="8"/>
  <c r="D225" i="8"/>
  <c r="C226" i="8"/>
  <c r="D226" i="8"/>
  <c r="C227" i="8"/>
  <c r="D227" i="8"/>
  <c r="C228" i="8"/>
  <c r="D228" i="8"/>
  <c r="C229" i="8"/>
  <c r="D229" i="8"/>
  <c r="C230" i="8"/>
  <c r="D230" i="8"/>
  <c r="C231" i="8"/>
  <c r="D231" i="8"/>
  <c r="C232" i="8"/>
  <c r="D232" i="8"/>
  <c r="C233" i="8"/>
  <c r="D233" i="8"/>
  <c r="C234" i="8"/>
  <c r="D234" i="8"/>
  <c r="C235" i="8"/>
  <c r="D235" i="8"/>
  <c r="C236" i="8"/>
  <c r="D236" i="8"/>
  <c r="C237" i="8"/>
  <c r="D237" i="8"/>
  <c r="C238" i="8"/>
  <c r="D238" i="8"/>
  <c r="C239" i="8"/>
  <c r="D239" i="8"/>
  <c r="C240" i="8"/>
  <c r="D240" i="8"/>
  <c r="C241" i="8"/>
  <c r="D241" i="8"/>
  <c r="C242" i="8"/>
  <c r="D242" i="8"/>
  <c r="C243" i="8"/>
  <c r="D243" i="8"/>
  <c r="C244" i="8"/>
  <c r="D244" i="8"/>
  <c r="C245" i="8"/>
  <c r="D245" i="8"/>
  <c r="C246" i="8"/>
  <c r="D246" i="8"/>
  <c r="C247" i="8"/>
  <c r="D247" i="8"/>
  <c r="C248" i="8"/>
  <c r="D248" i="8"/>
  <c r="C249" i="8"/>
  <c r="D249" i="8"/>
  <c r="C250" i="8"/>
  <c r="D250" i="8"/>
  <c r="C251" i="8"/>
  <c r="D251" i="8"/>
  <c r="C252" i="8"/>
  <c r="D252" i="8"/>
  <c r="C253" i="8"/>
  <c r="D253" i="8"/>
  <c r="C254" i="8"/>
  <c r="D254" i="8"/>
  <c r="C255" i="8"/>
  <c r="D255" i="8"/>
  <c r="C256" i="8"/>
  <c r="D256" i="8"/>
  <c r="C257" i="8"/>
  <c r="D257" i="8"/>
  <c r="C258" i="8"/>
  <c r="D258" i="8"/>
  <c r="C259" i="8"/>
  <c r="D259" i="8"/>
  <c r="C260" i="8"/>
  <c r="D260" i="8"/>
  <c r="C261" i="8"/>
  <c r="D261" i="8"/>
  <c r="C262" i="8"/>
  <c r="D262" i="8"/>
  <c r="C263" i="8"/>
  <c r="D263" i="8"/>
  <c r="C264" i="8"/>
  <c r="D264" i="8"/>
  <c r="C265" i="8"/>
  <c r="D265" i="8"/>
  <c r="C266" i="8"/>
  <c r="D266" i="8"/>
  <c r="C267" i="8"/>
  <c r="D267" i="8"/>
  <c r="C268" i="8"/>
  <c r="D268" i="8"/>
  <c r="C269" i="8"/>
  <c r="D269" i="8"/>
  <c r="C270" i="8"/>
  <c r="D270" i="8"/>
  <c r="C271" i="8"/>
  <c r="D271" i="8"/>
  <c r="C272" i="8"/>
  <c r="D272" i="8"/>
  <c r="C273" i="8"/>
  <c r="D273" i="8"/>
  <c r="C274" i="8"/>
  <c r="D274" i="8"/>
  <c r="C275" i="8"/>
  <c r="D275" i="8"/>
  <c r="C276" i="8"/>
  <c r="D276" i="8"/>
  <c r="C277" i="8"/>
  <c r="D277" i="8"/>
  <c r="C278" i="8"/>
  <c r="D278" i="8"/>
  <c r="C279" i="8"/>
  <c r="D279" i="8"/>
  <c r="C280" i="8"/>
  <c r="D280" i="8"/>
  <c r="C281" i="8"/>
  <c r="D281" i="8"/>
  <c r="C282" i="8"/>
  <c r="D282" i="8"/>
  <c r="C283" i="8"/>
  <c r="D283" i="8"/>
  <c r="C284" i="8"/>
  <c r="D284" i="8"/>
  <c r="C285" i="8"/>
  <c r="D285" i="8"/>
  <c r="C286" i="8"/>
  <c r="D286" i="8"/>
  <c r="C287" i="8"/>
  <c r="D287" i="8"/>
  <c r="C288" i="8"/>
  <c r="D288" i="8"/>
  <c r="C289" i="8"/>
  <c r="D289" i="8"/>
  <c r="C290" i="8"/>
  <c r="D290" i="8"/>
  <c r="C291" i="8"/>
  <c r="D291" i="8"/>
  <c r="C292" i="8"/>
  <c r="D292" i="8"/>
  <c r="C293" i="8"/>
  <c r="D293" i="8"/>
  <c r="C294" i="8"/>
  <c r="D294" i="8"/>
  <c r="C295" i="8"/>
  <c r="D295" i="8"/>
  <c r="C296" i="8"/>
  <c r="D296" i="8"/>
  <c r="C297" i="8"/>
  <c r="D297" i="8"/>
  <c r="C298" i="8"/>
  <c r="D298" i="8"/>
  <c r="C299" i="8"/>
  <c r="D299" i="8"/>
  <c r="C300" i="8"/>
  <c r="D300" i="8"/>
  <c r="C301" i="8"/>
  <c r="D301" i="8"/>
  <c r="C302" i="8"/>
  <c r="D302" i="8"/>
  <c r="C303" i="8"/>
  <c r="D303" i="8"/>
  <c r="C304" i="8"/>
  <c r="D304" i="8"/>
  <c r="C305" i="8"/>
  <c r="D305" i="8"/>
  <c r="C306" i="8"/>
  <c r="D306" i="8"/>
  <c r="C307" i="8"/>
  <c r="D307" i="8"/>
  <c r="C308" i="8"/>
  <c r="D308" i="8"/>
  <c r="C309" i="8"/>
  <c r="D309" i="8"/>
  <c r="C310" i="8"/>
  <c r="D310" i="8"/>
  <c r="C311" i="8"/>
  <c r="D311" i="8"/>
  <c r="C312" i="8"/>
  <c r="D312" i="8"/>
  <c r="C313" i="8"/>
  <c r="D313" i="8"/>
  <c r="C314" i="8"/>
  <c r="D314" i="8"/>
  <c r="C315" i="8"/>
  <c r="D315" i="8"/>
  <c r="C316" i="8"/>
  <c r="D316" i="8"/>
  <c r="C317" i="8"/>
  <c r="D317" i="8"/>
  <c r="C318" i="8"/>
  <c r="D318" i="8"/>
  <c r="C319" i="8"/>
  <c r="D319" i="8"/>
  <c r="C320" i="8"/>
  <c r="D320" i="8"/>
  <c r="C321" i="8"/>
  <c r="D321" i="8"/>
  <c r="C322" i="8"/>
  <c r="D322" i="8"/>
  <c r="C323" i="8"/>
  <c r="D323" i="8"/>
  <c r="C324" i="8"/>
  <c r="D324" i="8"/>
  <c r="C325" i="8"/>
  <c r="D325" i="8"/>
  <c r="C326" i="8"/>
  <c r="D326" i="8"/>
  <c r="C327" i="8"/>
  <c r="D327" i="8"/>
  <c r="C328" i="8"/>
  <c r="D328" i="8"/>
  <c r="C329" i="8"/>
  <c r="D329" i="8"/>
  <c r="C330" i="8"/>
  <c r="D330" i="8"/>
  <c r="C331" i="8"/>
  <c r="D331" i="8"/>
  <c r="C332" i="8"/>
  <c r="D332" i="8"/>
  <c r="C333" i="8"/>
  <c r="D333" i="8"/>
  <c r="C334" i="8"/>
  <c r="D334" i="8"/>
  <c r="C335" i="8"/>
  <c r="D335" i="8"/>
  <c r="C336" i="8"/>
  <c r="D336" i="8"/>
  <c r="C337" i="8"/>
  <c r="D337" i="8"/>
  <c r="C338" i="8"/>
  <c r="D338" i="8"/>
  <c r="C339" i="8"/>
  <c r="D339" i="8"/>
  <c r="C340" i="8"/>
  <c r="D340" i="8"/>
  <c r="C341" i="8"/>
  <c r="D341" i="8"/>
  <c r="C342" i="8"/>
  <c r="D342" i="8"/>
  <c r="C343" i="8"/>
  <c r="D343" i="8"/>
  <c r="C344" i="8"/>
  <c r="D344" i="8"/>
  <c r="C345" i="8"/>
  <c r="D345" i="8"/>
  <c r="C346" i="8"/>
  <c r="D346" i="8"/>
  <c r="C347" i="8"/>
  <c r="D347" i="8"/>
  <c r="C348" i="8"/>
  <c r="D348" i="8"/>
  <c r="C349" i="8"/>
  <c r="D349" i="8"/>
  <c r="C350" i="8"/>
  <c r="D350" i="8"/>
  <c r="C351" i="8"/>
  <c r="D351" i="8"/>
  <c r="C352" i="8"/>
  <c r="D352" i="8"/>
  <c r="C353" i="8"/>
  <c r="D353" i="8"/>
  <c r="C354" i="8"/>
  <c r="D354" i="8"/>
  <c r="C355" i="8"/>
  <c r="D355" i="8"/>
  <c r="C356" i="8"/>
  <c r="D356" i="8"/>
  <c r="C357" i="8"/>
  <c r="D357" i="8"/>
  <c r="C358" i="8"/>
  <c r="D358" i="8"/>
  <c r="C359" i="8"/>
  <c r="D359" i="8"/>
  <c r="C360" i="8"/>
  <c r="D360" i="8"/>
  <c r="C361" i="8"/>
  <c r="D361" i="8"/>
  <c r="C362" i="8"/>
  <c r="D362" i="8"/>
  <c r="C363" i="8"/>
  <c r="D363" i="8"/>
  <c r="C364" i="8"/>
  <c r="D364" i="8"/>
  <c r="C365" i="8"/>
  <c r="D365" i="8"/>
  <c r="C366" i="8"/>
  <c r="D366" i="8"/>
  <c r="C367" i="8"/>
  <c r="D367" i="8"/>
  <c r="C368" i="8"/>
  <c r="D368" i="8"/>
  <c r="C369" i="8"/>
  <c r="D369" i="8"/>
  <c r="C370" i="8"/>
  <c r="D370" i="8"/>
  <c r="C371" i="8"/>
  <c r="D371" i="8"/>
  <c r="C372" i="8"/>
  <c r="D372" i="8"/>
  <c r="C373" i="8"/>
  <c r="D373" i="8"/>
  <c r="C374" i="8"/>
  <c r="D374" i="8"/>
  <c r="C375" i="8"/>
  <c r="D375" i="8"/>
  <c r="C376" i="8"/>
  <c r="D376" i="8"/>
  <c r="C377" i="8"/>
  <c r="D377" i="8"/>
  <c r="C378" i="8"/>
  <c r="D378" i="8"/>
  <c r="C379" i="8"/>
  <c r="D379" i="8"/>
  <c r="C380" i="8"/>
  <c r="D380" i="8"/>
  <c r="C381" i="8"/>
  <c r="D381" i="8"/>
  <c r="C382" i="8"/>
  <c r="D382" i="8"/>
  <c r="C383" i="8"/>
  <c r="D383" i="8"/>
  <c r="C384" i="8"/>
  <c r="D384" i="8"/>
  <c r="C385" i="8"/>
  <c r="D385" i="8"/>
  <c r="C386" i="8"/>
  <c r="D386" i="8"/>
  <c r="C387" i="8"/>
  <c r="D387" i="8"/>
  <c r="C388" i="8"/>
  <c r="D388" i="8"/>
  <c r="C389" i="8"/>
  <c r="D389" i="8"/>
  <c r="C390" i="8"/>
  <c r="D390" i="8"/>
  <c r="C391" i="8"/>
  <c r="D391" i="8"/>
  <c r="C392" i="8"/>
  <c r="D392" i="8"/>
  <c r="C393" i="8"/>
  <c r="D393" i="8"/>
  <c r="C394" i="8"/>
  <c r="D394" i="8"/>
  <c r="C395" i="8"/>
  <c r="D395" i="8"/>
  <c r="C396" i="8"/>
  <c r="D396" i="8"/>
  <c r="C397" i="8"/>
  <c r="D397" i="8"/>
  <c r="C398" i="8"/>
  <c r="D398" i="8"/>
  <c r="C399" i="8"/>
  <c r="D399" i="8"/>
  <c r="C400" i="8"/>
  <c r="D400" i="8"/>
  <c r="C401" i="8"/>
  <c r="D401" i="8"/>
  <c r="C402" i="8"/>
  <c r="D402" i="8"/>
  <c r="C403" i="8"/>
  <c r="D403" i="8"/>
  <c r="C404" i="8"/>
  <c r="D404" i="8"/>
  <c r="C405" i="8"/>
  <c r="D405" i="8"/>
  <c r="C406" i="8"/>
  <c r="D406" i="8"/>
  <c r="C407" i="8"/>
  <c r="D407" i="8"/>
  <c r="C408" i="8"/>
  <c r="D408" i="8"/>
  <c r="C409" i="8"/>
  <c r="D409" i="8"/>
  <c r="C410" i="8"/>
  <c r="D410" i="8"/>
  <c r="C411" i="8"/>
  <c r="D411" i="8"/>
  <c r="C412" i="8"/>
  <c r="D412" i="8"/>
  <c r="C413" i="8"/>
  <c r="D413" i="8"/>
  <c r="C414" i="8"/>
  <c r="D414" i="8"/>
  <c r="C415" i="8"/>
  <c r="D415" i="8"/>
  <c r="C416" i="8"/>
  <c r="D416" i="8"/>
  <c r="C417" i="8"/>
  <c r="D417" i="8"/>
  <c r="C418" i="8"/>
  <c r="D418" i="8"/>
  <c r="C419" i="8"/>
  <c r="D419" i="8"/>
  <c r="C420" i="8"/>
  <c r="D420" i="8"/>
  <c r="C421" i="8"/>
  <c r="D421" i="8"/>
  <c r="C422" i="8"/>
  <c r="D422" i="8"/>
  <c r="C423" i="8"/>
  <c r="D423" i="8"/>
  <c r="C424" i="8"/>
  <c r="D424" i="8"/>
  <c r="C425" i="8"/>
  <c r="D425" i="8"/>
  <c r="C426" i="8"/>
  <c r="D426" i="8"/>
  <c r="C427" i="8"/>
  <c r="D427" i="8"/>
  <c r="C428" i="8"/>
  <c r="D428" i="8"/>
  <c r="C429" i="8"/>
  <c r="D429" i="8"/>
  <c r="C430" i="8"/>
  <c r="D430" i="8"/>
  <c r="C431" i="8"/>
  <c r="D431" i="8"/>
  <c r="C432" i="8"/>
  <c r="D432" i="8"/>
  <c r="C433" i="8"/>
  <c r="D433" i="8"/>
  <c r="C434" i="8"/>
  <c r="D434" i="8"/>
  <c r="C435" i="8"/>
  <c r="D435" i="8"/>
  <c r="C436" i="8"/>
  <c r="D436" i="8"/>
  <c r="C437" i="8"/>
  <c r="D437" i="8"/>
  <c r="C438" i="8"/>
  <c r="D438" i="8"/>
  <c r="C439" i="8"/>
  <c r="D439" i="8"/>
  <c r="C440" i="8"/>
  <c r="D440" i="8"/>
  <c r="C441" i="8"/>
  <c r="D441" i="8"/>
  <c r="C442" i="8"/>
  <c r="D442" i="8"/>
  <c r="C443" i="8"/>
  <c r="D443" i="8"/>
  <c r="C444" i="8"/>
  <c r="D444" i="8"/>
  <c r="C445" i="8"/>
  <c r="D445" i="8"/>
  <c r="C446" i="8"/>
  <c r="D446" i="8"/>
  <c r="C447" i="8"/>
  <c r="D447" i="8"/>
  <c r="C448" i="8"/>
  <c r="D448" i="8"/>
  <c r="C449" i="8"/>
  <c r="D449" i="8"/>
  <c r="C450" i="8"/>
  <c r="D450" i="8"/>
  <c r="C451" i="8"/>
  <c r="D451" i="8"/>
  <c r="C452" i="8"/>
  <c r="D452" i="8"/>
  <c r="C453" i="8"/>
  <c r="D453" i="8"/>
  <c r="C454" i="8"/>
  <c r="D454" i="8"/>
  <c r="C455" i="8"/>
  <c r="D455" i="8"/>
  <c r="C456" i="8"/>
  <c r="D456" i="8"/>
  <c r="C457" i="8"/>
  <c r="D457" i="8"/>
  <c r="C458" i="8"/>
  <c r="D458" i="8"/>
  <c r="C459" i="8"/>
  <c r="D459" i="8"/>
  <c r="C460" i="8"/>
  <c r="D460" i="8"/>
  <c r="C461" i="8"/>
  <c r="D461" i="8"/>
  <c r="C462" i="8"/>
  <c r="D462" i="8"/>
  <c r="C463" i="8"/>
  <c r="D463" i="8"/>
  <c r="C464" i="8"/>
  <c r="D464" i="8"/>
  <c r="C465" i="8"/>
  <c r="D465" i="8"/>
  <c r="C466" i="8"/>
  <c r="D466" i="8"/>
  <c r="C467" i="8"/>
  <c r="D467" i="8"/>
  <c r="C468" i="8"/>
  <c r="D468" i="8"/>
  <c r="C469" i="8"/>
  <c r="D469" i="8"/>
  <c r="C470" i="8"/>
  <c r="D470" i="8"/>
  <c r="C471" i="8"/>
  <c r="D471" i="8"/>
  <c r="C472" i="8"/>
  <c r="D472" i="8"/>
  <c r="C473" i="8"/>
  <c r="D473" i="8"/>
  <c r="C474" i="8"/>
  <c r="D474" i="8"/>
  <c r="C475" i="8"/>
  <c r="D475" i="8"/>
  <c r="C476" i="8"/>
  <c r="D476" i="8"/>
  <c r="C477" i="8"/>
  <c r="D477" i="8"/>
  <c r="C478" i="8"/>
  <c r="D478" i="8"/>
  <c r="C479" i="8"/>
  <c r="D479" i="8"/>
  <c r="C480" i="8"/>
  <c r="D480" i="8"/>
  <c r="C481" i="8"/>
  <c r="D481" i="8"/>
  <c r="C482" i="8"/>
  <c r="D482" i="8"/>
  <c r="C483" i="8"/>
  <c r="D483" i="8"/>
  <c r="C484" i="8"/>
  <c r="D484" i="8"/>
  <c r="C485" i="8"/>
  <c r="D485" i="8"/>
  <c r="C486" i="8"/>
  <c r="D486" i="8"/>
  <c r="C487" i="8"/>
  <c r="D487" i="8"/>
  <c r="C488" i="8"/>
  <c r="D488" i="8"/>
  <c r="C489" i="8"/>
  <c r="D489" i="8"/>
  <c r="C490" i="8"/>
  <c r="D490" i="8"/>
  <c r="C491" i="8"/>
  <c r="D491" i="8"/>
  <c r="C492" i="8"/>
  <c r="D492" i="8"/>
  <c r="C493" i="8"/>
  <c r="D493" i="8"/>
  <c r="C494" i="8"/>
  <c r="D494" i="8"/>
  <c r="C495" i="8"/>
  <c r="D495" i="8"/>
  <c r="C496" i="8"/>
  <c r="D496" i="8"/>
  <c r="C497" i="8"/>
  <c r="D497" i="8"/>
  <c r="C498" i="8"/>
  <c r="D498" i="8"/>
  <c r="C499" i="8"/>
  <c r="D499" i="8"/>
  <c r="C500" i="8"/>
  <c r="D500" i="8"/>
  <c r="C501" i="8"/>
  <c r="D501" i="8"/>
  <c r="C502" i="8"/>
  <c r="D502" i="8"/>
  <c r="C503" i="8"/>
  <c r="D503" i="8"/>
  <c r="C504" i="8"/>
  <c r="D504" i="8"/>
  <c r="C505" i="8"/>
  <c r="D505" i="8"/>
  <c r="C506" i="8"/>
  <c r="D506" i="8"/>
  <c r="C507" i="8"/>
  <c r="D507" i="8"/>
  <c r="C508" i="8"/>
  <c r="D508" i="8"/>
  <c r="C509" i="8"/>
  <c r="D509" i="8"/>
  <c r="C510" i="8"/>
  <c r="D510" i="8"/>
  <c r="C511" i="8"/>
  <c r="D511" i="8"/>
  <c r="C512" i="8"/>
  <c r="D512" i="8"/>
  <c r="C513" i="8"/>
  <c r="D513" i="8"/>
  <c r="C514" i="8"/>
  <c r="D514" i="8"/>
  <c r="C515" i="8"/>
  <c r="D515" i="8"/>
  <c r="C516" i="8"/>
  <c r="D516" i="8"/>
  <c r="C517" i="8"/>
  <c r="D517" i="8"/>
  <c r="C518" i="8"/>
  <c r="D518" i="8"/>
  <c r="C519" i="8"/>
  <c r="D519" i="8"/>
  <c r="C520" i="8"/>
  <c r="D520" i="8"/>
  <c r="C521" i="8"/>
  <c r="D521" i="8"/>
  <c r="C522" i="8"/>
  <c r="D522" i="8"/>
  <c r="C523" i="8"/>
  <c r="D523" i="8"/>
  <c r="C524" i="8"/>
  <c r="D524" i="8"/>
  <c r="C525" i="8"/>
  <c r="D525" i="8"/>
  <c r="C526" i="8"/>
  <c r="D526" i="8"/>
  <c r="C527" i="8"/>
  <c r="D527" i="8"/>
  <c r="C528" i="8"/>
  <c r="D528" i="8"/>
  <c r="C529" i="8"/>
  <c r="D529" i="8"/>
  <c r="C530" i="8"/>
  <c r="D530" i="8"/>
  <c r="C531" i="8"/>
  <c r="D531" i="8"/>
  <c r="C532" i="8"/>
  <c r="D532" i="8"/>
  <c r="C533" i="8"/>
  <c r="D533" i="8"/>
  <c r="C534" i="8"/>
  <c r="D534" i="8"/>
  <c r="C535" i="8"/>
  <c r="D535" i="8"/>
  <c r="C536" i="8"/>
  <c r="D536" i="8"/>
  <c r="C537" i="8"/>
  <c r="D537" i="8"/>
  <c r="C538" i="8"/>
  <c r="D538" i="8"/>
  <c r="C539" i="8"/>
  <c r="D539" i="8"/>
  <c r="C540" i="8"/>
  <c r="D540" i="8"/>
  <c r="C541" i="8"/>
  <c r="D541" i="8"/>
  <c r="C542" i="8"/>
  <c r="D542" i="8"/>
  <c r="C543" i="8"/>
  <c r="D543" i="8"/>
  <c r="C544" i="8"/>
  <c r="D544" i="8"/>
  <c r="C545" i="8"/>
  <c r="D545" i="8"/>
  <c r="C546" i="8"/>
  <c r="D546" i="8"/>
  <c r="C547" i="8"/>
  <c r="D547" i="8"/>
  <c r="C548" i="8"/>
  <c r="D548" i="8"/>
  <c r="C549" i="8"/>
  <c r="D549" i="8"/>
  <c r="C550" i="8"/>
  <c r="D550" i="8"/>
  <c r="C551" i="8"/>
  <c r="D551" i="8"/>
  <c r="C552" i="8"/>
  <c r="D552" i="8"/>
  <c r="C553" i="8"/>
  <c r="D553" i="8"/>
  <c r="C554" i="8"/>
  <c r="D554" i="8"/>
  <c r="C555" i="8"/>
  <c r="D555" i="8"/>
  <c r="C556" i="8"/>
  <c r="D556" i="8"/>
  <c r="C557" i="8"/>
  <c r="D557" i="8"/>
  <c r="C558" i="8"/>
  <c r="D558" i="8"/>
  <c r="C559" i="8"/>
  <c r="D559" i="8"/>
  <c r="C560" i="8"/>
  <c r="D560" i="8"/>
  <c r="C561" i="8"/>
  <c r="D561" i="8"/>
  <c r="C562" i="8"/>
  <c r="D562" i="8"/>
  <c r="C563" i="8"/>
  <c r="D563" i="8"/>
  <c r="C564" i="8"/>
  <c r="D564" i="8"/>
  <c r="C565" i="8"/>
  <c r="D565" i="8"/>
  <c r="C566" i="8"/>
  <c r="D566" i="8"/>
  <c r="C567" i="8"/>
  <c r="D567" i="8"/>
  <c r="C568" i="8"/>
  <c r="D568" i="8"/>
  <c r="C569" i="8"/>
  <c r="D569" i="8"/>
  <c r="C570" i="8"/>
  <c r="D570" i="8"/>
  <c r="C571" i="8"/>
  <c r="D571" i="8"/>
  <c r="C572" i="8"/>
  <c r="D572" i="8"/>
  <c r="C573" i="8"/>
  <c r="D573" i="8"/>
  <c r="C574" i="8"/>
  <c r="D574" i="8"/>
  <c r="C575" i="8"/>
  <c r="D575" i="8"/>
  <c r="C576" i="8"/>
  <c r="D576" i="8"/>
  <c r="C577" i="8"/>
  <c r="D577" i="8"/>
  <c r="C578" i="8"/>
  <c r="D578" i="8"/>
  <c r="C579" i="8"/>
  <c r="D579" i="8"/>
  <c r="C580" i="8"/>
  <c r="D580" i="8"/>
  <c r="C581" i="8"/>
  <c r="D581" i="8"/>
  <c r="C582" i="8"/>
  <c r="D582" i="8"/>
  <c r="C583" i="8"/>
  <c r="D583" i="8"/>
  <c r="C584" i="8"/>
  <c r="D584" i="8"/>
  <c r="C585" i="8"/>
  <c r="D585" i="8"/>
  <c r="C586" i="8"/>
  <c r="D586" i="8"/>
  <c r="C587" i="8"/>
  <c r="D587" i="8"/>
  <c r="C588" i="8"/>
  <c r="D588" i="8"/>
  <c r="C589" i="8"/>
  <c r="D589" i="8"/>
  <c r="C590" i="8"/>
  <c r="D590" i="8"/>
  <c r="C591" i="8"/>
  <c r="D591" i="8"/>
  <c r="C592" i="8"/>
  <c r="D592" i="8"/>
  <c r="C593" i="8"/>
  <c r="D593" i="8"/>
  <c r="C594" i="8"/>
  <c r="D594" i="8"/>
  <c r="C595" i="8"/>
  <c r="D595" i="8"/>
  <c r="C596" i="8"/>
  <c r="D596" i="8"/>
  <c r="C597" i="8"/>
  <c r="D597" i="8"/>
  <c r="C598" i="8"/>
  <c r="D598" i="8"/>
  <c r="C599" i="8"/>
  <c r="D599" i="8"/>
  <c r="C600" i="8"/>
  <c r="D600" i="8"/>
  <c r="C601" i="8"/>
  <c r="D601" i="8"/>
  <c r="C602" i="8"/>
  <c r="D602" i="8"/>
  <c r="C603" i="8"/>
  <c r="D603" i="8"/>
  <c r="C604" i="8"/>
  <c r="D604" i="8"/>
  <c r="C605" i="8"/>
  <c r="D605" i="8"/>
  <c r="C606" i="8"/>
  <c r="D606" i="8"/>
  <c r="C607" i="8"/>
  <c r="D607" i="8"/>
  <c r="C608" i="8"/>
  <c r="D608" i="8"/>
  <c r="C609" i="8"/>
  <c r="D609" i="8"/>
  <c r="C610" i="8"/>
  <c r="D610" i="8"/>
  <c r="C611" i="8"/>
  <c r="D611" i="8"/>
  <c r="C612" i="8"/>
  <c r="D612" i="8"/>
  <c r="C613" i="8"/>
  <c r="D613" i="8"/>
  <c r="C614" i="8"/>
  <c r="D614" i="8"/>
  <c r="C615" i="8"/>
  <c r="D615" i="8"/>
  <c r="C616" i="8"/>
  <c r="D616" i="8"/>
  <c r="C617" i="8"/>
  <c r="D617" i="8"/>
  <c r="C618" i="8"/>
  <c r="D618" i="8"/>
  <c r="C619" i="8"/>
  <c r="D619" i="8"/>
  <c r="C620" i="8"/>
  <c r="D620" i="8"/>
  <c r="C621" i="8"/>
  <c r="D621" i="8"/>
  <c r="C622" i="8"/>
  <c r="D622" i="8"/>
  <c r="C623" i="8"/>
  <c r="D623" i="8"/>
  <c r="C624" i="8"/>
  <c r="D624" i="8"/>
  <c r="C625" i="8"/>
  <c r="D625" i="8"/>
  <c r="C626" i="8"/>
  <c r="D626" i="8"/>
  <c r="C627" i="8"/>
  <c r="D627" i="8"/>
  <c r="C628" i="8"/>
  <c r="D628" i="8"/>
  <c r="C629" i="8"/>
  <c r="D629" i="8"/>
  <c r="C630" i="8"/>
  <c r="D630" i="8"/>
  <c r="C631" i="8"/>
  <c r="D631" i="8"/>
  <c r="C632" i="8"/>
  <c r="D632" i="8"/>
  <c r="C633" i="8"/>
  <c r="D633" i="8"/>
  <c r="C634" i="8"/>
  <c r="D634" i="8"/>
  <c r="C635" i="8"/>
  <c r="D635" i="8"/>
  <c r="C636" i="8"/>
  <c r="D636" i="8"/>
  <c r="C637" i="8"/>
  <c r="D637" i="8"/>
  <c r="C638" i="8"/>
  <c r="D638" i="8"/>
  <c r="C639" i="8"/>
  <c r="D639" i="8"/>
  <c r="C640" i="8"/>
  <c r="D640" i="8"/>
  <c r="C641" i="8"/>
  <c r="D641" i="8"/>
  <c r="C642" i="8"/>
  <c r="D642" i="8"/>
  <c r="C643" i="8"/>
  <c r="D643" i="8"/>
  <c r="C644" i="8"/>
  <c r="D644" i="8"/>
  <c r="C645" i="8"/>
  <c r="D645" i="8"/>
  <c r="C646" i="8"/>
  <c r="D646" i="8"/>
  <c r="C647" i="8"/>
  <c r="D647" i="8"/>
  <c r="C648" i="8"/>
  <c r="D648" i="8"/>
  <c r="C649" i="8"/>
  <c r="D649" i="8"/>
  <c r="C650" i="8"/>
  <c r="D650" i="8"/>
  <c r="C651" i="8"/>
  <c r="D651" i="8"/>
  <c r="C652" i="8"/>
  <c r="D652" i="8"/>
  <c r="C653" i="8"/>
  <c r="D653" i="8"/>
  <c r="C654" i="8"/>
  <c r="D654" i="8"/>
  <c r="C655" i="8"/>
  <c r="D655" i="8"/>
  <c r="C656" i="8"/>
  <c r="D656" i="8"/>
  <c r="C657" i="8"/>
  <c r="D657" i="8"/>
  <c r="C658" i="8"/>
  <c r="D658" i="8"/>
  <c r="C659" i="8"/>
  <c r="D659" i="8"/>
  <c r="C660" i="8"/>
  <c r="D660" i="8"/>
  <c r="C661" i="8"/>
  <c r="D661" i="8"/>
  <c r="C662" i="8"/>
  <c r="D662" i="8"/>
  <c r="C663" i="8"/>
  <c r="D663" i="8"/>
  <c r="C664" i="8"/>
  <c r="D664" i="8"/>
  <c r="C665" i="8"/>
  <c r="D665" i="8"/>
  <c r="C666" i="8"/>
  <c r="D666" i="8"/>
  <c r="C667" i="8"/>
  <c r="D667" i="8"/>
  <c r="C668" i="8"/>
  <c r="D668" i="8"/>
  <c r="C669" i="8"/>
  <c r="D669" i="8"/>
  <c r="C670" i="8"/>
  <c r="D670" i="8"/>
  <c r="C671" i="8"/>
  <c r="D671" i="8"/>
  <c r="C672" i="8"/>
  <c r="D672" i="8"/>
  <c r="C673" i="8"/>
  <c r="D673" i="8"/>
  <c r="C674" i="8"/>
  <c r="D674" i="8"/>
  <c r="C675" i="8"/>
  <c r="D675" i="8"/>
  <c r="C676" i="8"/>
  <c r="D676" i="8"/>
  <c r="C677" i="8"/>
  <c r="D677" i="8"/>
  <c r="C678" i="8"/>
  <c r="D678" i="8"/>
  <c r="C679" i="8"/>
  <c r="D679" i="8"/>
  <c r="C680" i="8"/>
  <c r="D680" i="8"/>
  <c r="C681" i="8"/>
  <c r="D681" i="8"/>
  <c r="C682" i="8"/>
  <c r="D682" i="8"/>
  <c r="C683" i="8"/>
  <c r="D683" i="8"/>
  <c r="C684" i="8"/>
  <c r="D684" i="8"/>
  <c r="C685" i="8"/>
  <c r="D685" i="8"/>
  <c r="C686" i="8"/>
  <c r="D686" i="8"/>
  <c r="C687" i="8"/>
  <c r="D687" i="8"/>
  <c r="C688" i="8"/>
  <c r="D688" i="8"/>
  <c r="C689" i="8"/>
  <c r="D689" i="8"/>
  <c r="C690" i="8"/>
  <c r="D690" i="8"/>
  <c r="C691" i="8"/>
  <c r="D691" i="8"/>
  <c r="C692" i="8"/>
  <c r="D692" i="8"/>
  <c r="C693" i="8"/>
  <c r="D693" i="8"/>
  <c r="C694" i="8"/>
  <c r="D694" i="8"/>
  <c r="C695" i="8"/>
  <c r="D695" i="8"/>
  <c r="C696" i="8"/>
  <c r="D696" i="8"/>
  <c r="C697" i="8"/>
  <c r="D697" i="8"/>
  <c r="C698" i="8"/>
  <c r="D698" i="8"/>
  <c r="C699" i="8"/>
  <c r="D699" i="8"/>
  <c r="C700" i="8"/>
  <c r="D700" i="8"/>
  <c r="C701" i="8"/>
  <c r="D701" i="8"/>
  <c r="C702" i="8"/>
  <c r="D702" i="8"/>
  <c r="C703" i="8"/>
  <c r="D703" i="8"/>
  <c r="C704" i="8"/>
  <c r="D704" i="8"/>
  <c r="C705" i="8"/>
  <c r="D705" i="8"/>
  <c r="C706" i="8"/>
  <c r="D706" i="8"/>
  <c r="C707" i="8"/>
  <c r="D707" i="8"/>
  <c r="C708" i="8"/>
  <c r="D708" i="8"/>
  <c r="C709" i="8"/>
  <c r="D709" i="8"/>
  <c r="C710" i="8"/>
  <c r="D710" i="8"/>
  <c r="C711" i="8"/>
  <c r="D711" i="8"/>
  <c r="C712" i="8"/>
  <c r="D712" i="8"/>
  <c r="C713" i="8"/>
  <c r="D713" i="8"/>
  <c r="C714" i="8"/>
  <c r="D714" i="8"/>
  <c r="C715" i="8"/>
  <c r="D715" i="8"/>
  <c r="C716" i="8"/>
  <c r="D716" i="8"/>
  <c r="C717" i="8"/>
  <c r="D717" i="8"/>
  <c r="C718" i="8"/>
  <c r="D718" i="8"/>
  <c r="C719" i="8"/>
  <c r="D719" i="8"/>
  <c r="C720" i="8"/>
  <c r="D720" i="8"/>
  <c r="C721" i="8"/>
  <c r="D721" i="8"/>
  <c r="C722" i="8"/>
  <c r="D722" i="8"/>
  <c r="C723" i="8"/>
  <c r="D723" i="8"/>
  <c r="C724" i="8"/>
  <c r="D724" i="8"/>
  <c r="C725" i="8"/>
  <c r="D725" i="8"/>
  <c r="C726" i="8"/>
  <c r="D726" i="8"/>
  <c r="C727" i="8"/>
  <c r="D727" i="8"/>
  <c r="C728" i="8"/>
  <c r="D728" i="8"/>
  <c r="C729" i="8"/>
  <c r="D729" i="8"/>
  <c r="C730" i="8"/>
  <c r="D730" i="8"/>
  <c r="C731" i="8"/>
  <c r="D731" i="8"/>
  <c r="C732" i="8"/>
  <c r="D732" i="8"/>
  <c r="C733" i="8"/>
  <c r="D733" i="8"/>
  <c r="C734" i="8"/>
  <c r="D734" i="8"/>
  <c r="C735" i="8"/>
  <c r="D735" i="8"/>
  <c r="C736" i="8"/>
  <c r="D736" i="8"/>
  <c r="C737" i="8"/>
  <c r="D737" i="8"/>
  <c r="C738" i="8"/>
  <c r="D738" i="8"/>
  <c r="C739" i="8"/>
  <c r="D739" i="8"/>
  <c r="C740" i="8"/>
  <c r="D740" i="8"/>
  <c r="C741" i="8"/>
  <c r="D741" i="8"/>
  <c r="C742" i="8"/>
  <c r="D742" i="8"/>
  <c r="C743" i="8"/>
  <c r="D743" i="8"/>
  <c r="C744" i="8"/>
  <c r="D744" i="8"/>
  <c r="C745" i="8"/>
  <c r="D745" i="8"/>
  <c r="C746" i="8"/>
  <c r="D746" i="8"/>
  <c r="C747" i="8"/>
  <c r="D747" i="8"/>
  <c r="C748" i="8"/>
  <c r="D748" i="8"/>
  <c r="C749" i="8"/>
  <c r="D749" i="8"/>
  <c r="C750" i="8"/>
  <c r="D750" i="8"/>
  <c r="C751" i="8"/>
  <c r="D751" i="8"/>
  <c r="C752" i="8"/>
  <c r="D752" i="8"/>
  <c r="C753" i="8"/>
  <c r="D753" i="8"/>
  <c r="C754" i="8"/>
  <c r="D754" i="8"/>
  <c r="C755" i="8"/>
  <c r="D755" i="8"/>
  <c r="C756" i="8"/>
  <c r="D756" i="8"/>
  <c r="C757" i="8"/>
  <c r="D757" i="8"/>
  <c r="C758" i="8"/>
  <c r="D758" i="8"/>
  <c r="C759" i="8"/>
  <c r="D759" i="8"/>
  <c r="C760" i="8"/>
  <c r="D760" i="8"/>
  <c r="C761" i="8"/>
  <c r="D761" i="8"/>
  <c r="C762" i="8"/>
  <c r="D762" i="8"/>
  <c r="C763" i="8"/>
  <c r="D763" i="8"/>
  <c r="C764" i="8"/>
  <c r="D764" i="8"/>
  <c r="C765" i="8"/>
  <c r="D765" i="8"/>
  <c r="C766" i="8"/>
  <c r="D766" i="8"/>
  <c r="C767" i="8"/>
  <c r="D767" i="8"/>
  <c r="C768" i="8"/>
  <c r="D768" i="8"/>
  <c r="C769" i="8"/>
  <c r="D769" i="8"/>
  <c r="C770" i="8"/>
  <c r="D770" i="8"/>
  <c r="C771" i="8"/>
  <c r="D771" i="8"/>
  <c r="C772" i="8"/>
  <c r="D772" i="8"/>
  <c r="C773" i="8"/>
  <c r="D773" i="8"/>
  <c r="C774" i="8"/>
  <c r="D774" i="8"/>
  <c r="C775" i="8"/>
  <c r="D775" i="8"/>
  <c r="C776" i="8"/>
  <c r="D776" i="8"/>
  <c r="C777" i="8"/>
  <c r="D777" i="8"/>
  <c r="C778" i="8"/>
  <c r="D778" i="8"/>
  <c r="C779" i="8"/>
  <c r="D779" i="8"/>
  <c r="C780" i="8"/>
  <c r="D780" i="8"/>
  <c r="C781" i="8"/>
  <c r="D781" i="8"/>
  <c r="C186" i="8"/>
  <c r="D186" i="8"/>
  <c r="C187" i="8"/>
  <c r="D187" i="8"/>
  <c r="C188" i="8"/>
  <c r="D188" i="8"/>
  <c r="C189" i="8"/>
  <c r="D189" i="8"/>
  <c r="C190" i="8"/>
  <c r="D190" i="8"/>
  <c r="C191" i="8"/>
  <c r="D191" i="8"/>
  <c r="C192" i="8"/>
  <c r="D19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I64" i="8" s="1"/>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2" i="8"/>
  <c r="I855" i="8" l="1"/>
  <c r="I856" i="8" s="1"/>
  <c r="I857" i="8" s="1"/>
  <c r="I858" i="8" s="1"/>
  <c r="I794" i="8"/>
  <c r="I795" i="8" s="1"/>
  <c r="I824" i="8"/>
  <c r="I827" i="8" s="1"/>
  <c r="I885" i="8"/>
  <c r="I886" i="8" s="1"/>
  <c r="I3" i="8"/>
  <c r="I4" i="8" s="1"/>
  <c r="I94" i="8"/>
  <c r="I95" i="8" s="1"/>
  <c r="I96" i="8" s="1"/>
  <c r="I610" i="8"/>
  <c r="I611" i="8" s="1"/>
  <c r="I155" i="8"/>
  <c r="I156" i="8" s="1"/>
  <c r="I157" i="8" s="1"/>
  <c r="I641" i="8"/>
  <c r="I642" i="8" s="1"/>
  <c r="I645" i="8" s="1"/>
  <c r="I337" i="8"/>
  <c r="I338" i="8" s="1"/>
  <c r="I459" i="8"/>
  <c r="I460" i="8" s="1"/>
  <c r="I463" i="8" s="1"/>
  <c r="I464" i="8" s="1"/>
  <c r="I465" i="8" s="1"/>
  <c r="I306" i="8"/>
  <c r="I309" i="8" s="1"/>
  <c r="I520" i="8"/>
  <c r="I521" i="8" s="1"/>
  <c r="I522" i="8" s="1"/>
  <c r="I523" i="8" s="1"/>
  <c r="I400" i="8"/>
  <c r="I401" i="8" s="1"/>
  <c r="I402" i="8" s="1"/>
  <c r="I551" i="8"/>
  <c r="I554" i="8" s="1"/>
  <c r="I367" i="8"/>
  <c r="I368" i="8" s="1"/>
  <c r="I369" i="8" s="1"/>
  <c r="I186" i="8"/>
  <c r="I187" i="8" s="1"/>
  <c r="I702" i="8"/>
  <c r="I703" i="8" s="1"/>
  <c r="I704" i="8" s="1"/>
  <c r="I705" i="8" s="1"/>
  <c r="I582" i="8"/>
  <c r="I583" i="8" s="1"/>
  <c r="I246" i="8"/>
  <c r="I247" i="8" s="1"/>
  <c r="I429" i="8"/>
  <c r="I430" i="8" s="1"/>
  <c r="I431" i="8" s="1"/>
  <c r="I65" i="8"/>
  <c r="I66" i="8" s="1"/>
  <c r="I764" i="8"/>
  <c r="I765" i="8" s="1"/>
  <c r="I766" i="8" s="1"/>
  <c r="I767" i="8" s="1"/>
  <c r="I732" i="8"/>
  <c r="I276" i="8"/>
  <c r="I277" i="8" s="1"/>
  <c r="I278" i="8" s="1"/>
  <c r="I281" i="8" s="1"/>
  <c r="I33" i="8"/>
  <c r="I36" i="8" s="1"/>
  <c r="I673" i="8"/>
  <c r="I127" i="8"/>
  <c r="I491" i="8"/>
  <c r="I492" i="8" s="1"/>
  <c r="I218" i="8"/>
  <c r="I219" i="8" s="1"/>
  <c r="I220" i="8" s="1"/>
  <c r="C11" i="7"/>
  <c r="C13" i="7" s="1" a="1"/>
  <c r="C13" i="7" s="1"/>
  <c r="I887" i="8" l="1"/>
  <c r="I890" i="8" s="1"/>
  <c r="I859" i="8"/>
  <c r="I862" i="8" s="1"/>
  <c r="I796" i="8"/>
  <c r="I799" i="8" s="1"/>
  <c r="I828" i="8"/>
  <c r="I158" i="8"/>
  <c r="I159" i="8" s="1"/>
  <c r="I162" i="8" s="1"/>
  <c r="I163" i="8" s="1"/>
  <c r="I584" i="8"/>
  <c r="I585" i="8" s="1"/>
  <c r="I586" i="8" s="1"/>
  <c r="I67" i="8"/>
  <c r="I68" i="8" s="1"/>
  <c r="I71" i="8" s="1"/>
  <c r="I72" i="8" s="1"/>
  <c r="I73" i="8" s="1"/>
  <c r="I612" i="8"/>
  <c r="I613" i="8" s="1"/>
  <c r="I614" i="8" s="1"/>
  <c r="I8" i="8"/>
  <c r="I733" i="8"/>
  <c r="I736" i="8" s="1"/>
  <c r="I248" i="8"/>
  <c r="I249" i="8" s="1"/>
  <c r="I250" i="8" s="1"/>
  <c r="I37" i="8"/>
  <c r="I38" i="8" s="1"/>
  <c r="I39" i="8" s="1"/>
  <c r="I768" i="8"/>
  <c r="I99" i="8"/>
  <c r="I432" i="8"/>
  <c r="I310" i="8"/>
  <c r="I311" i="8" s="1"/>
  <c r="I339" i="8"/>
  <c r="C16" i="7"/>
  <c r="C18" i="7" s="1" a="1"/>
  <c r="C18" i="7" s="1"/>
  <c r="I555" i="8"/>
  <c r="I372" i="8"/>
  <c r="I190" i="8"/>
  <c r="I466" i="8"/>
  <c r="I221" i="8"/>
  <c r="I708" i="8"/>
  <c r="I282" i="8"/>
  <c r="I128" i="8"/>
  <c r="I674" i="8"/>
  <c r="I646" i="8"/>
  <c r="I403" i="8"/>
  <c r="I493" i="8"/>
  <c r="I494" i="8" s="1"/>
  <c r="I526" i="8"/>
  <c r="I527" i="8" s="1"/>
  <c r="D11" i="7"/>
  <c r="D14" i="7" s="1"/>
  <c r="C10" i="7"/>
  <c r="C12" i="7" s="1" a="1"/>
  <c r="C12" i="7" s="1"/>
  <c r="D13" i="7" l="1" a="1"/>
  <c r="D13" i="7" s="1"/>
  <c r="I863" i="8"/>
  <c r="I864" i="8" s="1"/>
  <c r="I865" i="8" s="1"/>
  <c r="I866" i="8" s="1"/>
  <c r="I869" i="8" s="1"/>
  <c r="I800" i="8"/>
  <c r="I891" i="8"/>
  <c r="I892" i="8" s="1"/>
  <c r="I893" i="8" s="1"/>
  <c r="I894" i="8" s="1"/>
  <c r="I771" i="8"/>
  <c r="I829" i="8"/>
  <c r="I737" i="8"/>
  <c r="I738" i="8" s="1"/>
  <c r="I739" i="8" s="1"/>
  <c r="I740" i="8" s="1"/>
  <c r="I9" i="8"/>
  <c r="I10" i="8" s="1"/>
  <c r="I100" i="8"/>
  <c r="I101" i="8" s="1"/>
  <c r="I312" i="8"/>
  <c r="I313" i="8" s="1"/>
  <c r="I495" i="8"/>
  <c r="I498" i="8" s="1"/>
  <c r="I340" i="8"/>
  <c r="I435" i="8"/>
  <c r="I436" i="8" s="1"/>
  <c r="C15" i="7"/>
  <c r="C17" i="7" s="1" a="1"/>
  <c r="C17" i="7" s="1"/>
  <c r="C21" i="7"/>
  <c r="C23" i="7" s="1" a="1"/>
  <c r="C23" i="7" s="1"/>
  <c r="D16" i="7"/>
  <c r="D19" i="7" s="1"/>
  <c r="I40" i="8"/>
  <c r="I43" i="8" s="1"/>
  <c r="I253" i="8"/>
  <c r="I74" i="8"/>
  <c r="I647" i="8"/>
  <c r="I709" i="8"/>
  <c r="I373" i="8"/>
  <c r="I467" i="8"/>
  <c r="I283" i="8"/>
  <c r="I222" i="8"/>
  <c r="I617" i="8"/>
  <c r="I528" i="8"/>
  <c r="I529" i="8" s="1"/>
  <c r="I191" i="8"/>
  <c r="I589" i="8"/>
  <c r="I164" i="8"/>
  <c r="I675" i="8"/>
  <c r="I676" i="8" s="1"/>
  <c r="I404" i="8"/>
  <c r="I129" i="8"/>
  <c r="I556" i="8"/>
  <c r="I557" i="8" s="1"/>
  <c r="E11" i="7"/>
  <c r="E14" i="7" s="1"/>
  <c r="D18" i="7" l="1" a="1"/>
  <c r="D18" i="7" s="1"/>
  <c r="E13" i="7" a="1"/>
  <c r="E13" i="7" s="1"/>
  <c r="I772" i="8"/>
  <c r="I773" i="8" s="1"/>
  <c r="I774" i="8" s="1"/>
  <c r="I897" i="8"/>
  <c r="I898" i="8" s="1"/>
  <c r="I801" i="8"/>
  <c r="I870" i="8"/>
  <c r="I871" i="8" s="1"/>
  <c r="I872" i="8" s="1"/>
  <c r="I830" i="8"/>
  <c r="I11" i="8"/>
  <c r="I12" i="8" s="1"/>
  <c r="I15" i="8" s="1"/>
  <c r="I16" i="8" s="1"/>
  <c r="I17" i="8" s="1"/>
  <c r="I437" i="8"/>
  <c r="I438" i="8" s="1"/>
  <c r="I439" i="8" s="1"/>
  <c r="I442" i="8" s="1"/>
  <c r="I341" i="8"/>
  <c r="I344" i="8" s="1"/>
  <c r="I345" i="8" s="1"/>
  <c r="I346" i="8" s="1"/>
  <c r="I102" i="8"/>
  <c r="I103" i="8" s="1"/>
  <c r="I316" i="8"/>
  <c r="D21" i="7"/>
  <c r="D24" i="7" s="1"/>
  <c r="C20" i="7"/>
  <c r="C22" i="7" s="1" a="1"/>
  <c r="C22" i="7" s="1"/>
  <c r="D15" i="7"/>
  <c r="D17" i="7" s="1" a="1"/>
  <c r="D17" i="7" s="1"/>
  <c r="I677" i="8"/>
  <c r="I680" i="8" s="1"/>
  <c r="I165" i="8"/>
  <c r="I166" i="8" s="1"/>
  <c r="I169" i="8" s="1"/>
  <c r="I170" i="8" s="1"/>
  <c r="I499" i="8"/>
  <c r="I44" i="8"/>
  <c r="I45" i="8" s="1"/>
  <c r="I225" i="8"/>
  <c r="I226" i="8" s="1"/>
  <c r="I227" i="8" s="1"/>
  <c r="I228" i="8" s="1"/>
  <c r="I75" i="8"/>
  <c r="I284" i="8"/>
  <c r="I285" i="8" s="1"/>
  <c r="I530" i="8"/>
  <c r="I130" i="8"/>
  <c r="I590" i="8"/>
  <c r="I591" i="8" s="1"/>
  <c r="I592" i="8" s="1"/>
  <c r="I470" i="8"/>
  <c r="I254" i="8"/>
  <c r="I255" i="8" s="1"/>
  <c r="I743" i="8"/>
  <c r="I374" i="8"/>
  <c r="I375" i="8" s="1"/>
  <c r="I618" i="8"/>
  <c r="I619" i="8" s="1"/>
  <c r="I620" i="8" s="1"/>
  <c r="I407" i="8"/>
  <c r="I192" i="8"/>
  <c r="I710" i="8"/>
  <c r="I648" i="8"/>
  <c r="I558" i="8"/>
  <c r="I561" i="8" s="1"/>
  <c r="F11" i="7"/>
  <c r="F14" i="7" s="1"/>
  <c r="E16" i="7"/>
  <c r="E19" i="7" s="1"/>
  <c r="C26" i="7"/>
  <c r="C28" i="7" s="1" a="1"/>
  <c r="C28" i="7" s="1"/>
  <c r="D23" i="7" l="1" a="1"/>
  <c r="D23" i="7" s="1"/>
  <c r="E18" i="7" a="1"/>
  <c r="E18" i="7" s="1"/>
  <c r="F13" i="7" a="1"/>
  <c r="F13" i="7" s="1"/>
  <c r="I899" i="8"/>
  <c r="I900" i="8" s="1"/>
  <c r="I901" i="8" s="1"/>
  <c r="I802" i="8"/>
  <c r="I803" i="8" s="1"/>
  <c r="I873" i="8"/>
  <c r="I876" i="8" s="1"/>
  <c r="I877" i="8" s="1"/>
  <c r="I878" i="8" s="1"/>
  <c r="I879" i="8" s="1"/>
  <c r="I880" i="8" s="1"/>
  <c r="I883" i="8" s="1"/>
  <c r="I884" i="8" s="1"/>
  <c r="I831" i="8"/>
  <c r="I834" i="8" s="1"/>
  <c r="I835" i="8" s="1"/>
  <c r="I836" i="8" s="1"/>
  <c r="I775" i="8"/>
  <c r="I778" i="8" s="1"/>
  <c r="D26" i="7"/>
  <c r="D29" i="7" s="1"/>
  <c r="I18" i="8"/>
  <c r="I19" i="8" s="1"/>
  <c r="I106" i="8"/>
  <c r="I107" i="8" s="1"/>
  <c r="I108" i="8" s="1"/>
  <c r="I347" i="8"/>
  <c r="I593" i="8"/>
  <c r="I596" i="8" s="1"/>
  <c r="I317" i="8"/>
  <c r="E15" i="7"/>
  <c r="E17" i="7" s="1" a="1"/>
  <c r="E17" i="7" s="1"/>
  <c r="C25" i="7"/>
  <c r="C27" i="7" s="1" a="1"/>
  <c r="C27" i="7" s="1"/>
  <c r="I229" i="8"/>
  <c r="I232" i="8" s="1"/>
  <c r="I288" i="8"/>
  <c r="I193" i="8"/>
  <c r="I194" i="8" s="1"/>
  <c r="I197" i="8" s="1"/>
  <c r="I744" i="8"/>
  <c r="I443" i="8"/>
  <c r="I444" i="8" s="1"/>
  <c r="I445" i="8" s="1"/>
  <c r="I171" i="8"/>
  <c r="I562" i="8"/>
  <c r="I563" i="8" s="1"/>
  <c r="I564" i="8" s="1"/>
  <c r="I565" i="8" s="1"/>
  <c r="I568" i="8" s="1"/>
  <c r="I533" i="8"/>
  <c r="I46" i="8"/>
  <c r="I256" i="8"/>
  <c r="I257" i="8" s="1"/>
  <c r="I260" i="8" s="1"/>
  <c r="I78" i="8"/>
  <c r="D20" i="7" s="1"/>
  <c r="D22" i="7" s="1" a="1"/>
  <c r="D22" i="7" s="1"/>
  <c r="I376" i="8"/>
  <c r="I681" i="8"/>
  <c r="I682" i="8" s="1"/>
  <c r="I500" i="8"/>
  <c r="I408" i="8"/>
  <c r="I131" i="8"/>
  <c r="I134" i="8" s="1"/>
  <c r="I621" i="8"/>
  <c r="I624" i="8" s="1"/>
  <c r="I649" i="8"/>
  <c r="I711" i="8"/>
  <c r="I471" i="8"/>
  <c r="F16" i="7"/>
  <c r="F19" i="7" s="1"/>
  <c r="G11" i="7"/>
  <c r="G14" i="7" s="1"/>
  <c r="E21" i="7"/>
  <c r="E24" i="7" s="1"/>
  <c r="C31" i="7"/>
  <c r="C33" i="7" s="1" a="1"/>
  <c r="C33" i="7" s="1"/>
  <c r="D31" i="7" l="1"/>
  <c r="D34" i="7" s="1"/>
  <c r="E23" i="7" a="1"/>
  <c r="E23" i="7" s="1"/>
  <c r="D28" i="7" a="1"/>
  <c r="D28" i="7" s="1"/>
  <c r="G13" i="7" a="1"/>
  <c r="G13" i="7" s="1"/>
  <c r="F18" i="7" a="1"/>
  <c r="F18" i="7" s="1"/>
  <c r="I806" i="8"/>
  <c r="I837" i="8"/>
  <c r="I838" i="8" s="1"/>
  <c r="I841" i="8" s="1"/>
  <c r="I842" i="8" s="1"/>
  <c r="I843" i="8" s="1"/>
  <c r="I844" i="8" s="1"/>
  <c r="I845" i="8" s="1"/>
  <c r="I848" i="8" s="1"/>
  <c r="I849" i="8" s="1"/>
  <c r="I850" i="8" s="1"/>
  <c r="I851" i="8" s="1"/>
  <c r="I852" i="8" s="1"/>
  <c r="I904" i="8"/>
  <c r="I79" i="8"/>
  <c r="I80" i="8" s="1"/>
  <c r="I109" i="8"/>
  <c r="I110" i="8" s="1"/>
  <c r="I113" i="8" s="1"/>
  <c r="I348" i="8"/>
  <c r="I351" i="8" s="1"/>
  <c r="I779" i="8"/>
  <c r="I318" i="8"/>
  <c r="I319" i="8" s="1"/>
  <c r="F15" i="7"/>
  <c r="F17" i="7" s="1" a="1"/>
  <c r="F17" i="7" s="1"/>
  <c r="C30" i="7"/>
  <c r="C32" i="7" s="1" a="1"/>
  <c r="C32" i="7" s="1"/>
  <c r="I625" i="8"/>
  <c r="I626" i="8" s="1"/>
  <c r="I627" i="8" s="1"/>
  <c r="I628" i="8" s="1"/>
  <c r="I631" i="8" s="1"/>
  <c r="I446" i="8"/>
  <c r="I449" i="8" s="1"/>
  <c r="I450" i="8" s="1"/>
  <c r="I451" i="8" s="1"/>
  <c r="I452" i="8" s="1"/>
  <c r="I453" i="8" s="1"/>
  <c r="I456" i="8" s="1"/>
  <c r="I457" i="8" s="1"/>
  <c r="I458" i="8" s="1"/>
  <c r="I261" i="8"/>
  <c r="I262" i="8" s="1"/>
  <c r="I263" i="8" s="1"/>
  <c r="I534" i="8"/>
  <c r="I745" i="8"/>
  <c r="I683" i="8"/>
  <c r="I597" i="8"/>
  <c r="I289" i="8"/>
  <c r="I652" i="8"/>
  <c r="I653" i="8" s="1"/>
  <c r="I654" i="8" s="1"/>
  <c r="I655" i="8" s="1"/>
  <c r="I656" i="8" s="1"/>
  <c r="I659" i="8" s="1"/>
  <c r="I660" i="8" s="1"/>
  <c r="I661" i="8" s="1"/>
  <c r="I662" i="8" s="1"/>
  <c r="I663" i="8" s="1"/>
  <c r="I666" i="8" s="1"/>
  <c r="I667" i="8" s="1"/>
  <c r="I668" i="8" s="1"/>
  <c r="I669" i="8" s="1"/>
  <c r="I670" i="8" s="1"/>
  <c r="I135" i="8"/>
  <c r="I136" i="8" s="1"/>
  <c r="I233" i="8"/>
  <c r="I234" i="8" s="1"/>
  <c r="I712" i="8"/>
  <c r="I569" i="8"/>
  <c r="I570" i="8" s="1"/>
  <c r="I571" i="8" s="1"/>
  <c r="I572" i="8" s="1"/>
  <c r="I575" i="8" s="1"/>
  <c r="I576" i="8" s="1"/>
  <c r="I577" i="8" s="1"/>
  <c r="I22" i="8"/>
  <c r="I23" i="8" s="1"/>
  <c r="I24" i="8" s="1"/>
  <c r="I25" i="8" s="1"/>
  <c r="I26" i="8" s="1"/>
  <c r="I29" i="8" s="1"/>
  <c r="I198" i="8"/>
  <c r="I501" i="8"/>
  <c r="I502" i="8" s="1"/>
  <c r="I409" i="8"/>
  <c r="I410" i="8" s="1"/>
  <c r="I411" i="8" s="1"/>
  <c r="I472" i="8"/>
  <c r="I172" i="8"/>
  <c r="I379" i="8"/>
  <c r="I47" i="8"/>
  <c r="I50" i="8" s="1"/>
  <c r="I51" i="8" s="1"/>
  <c r="I52" i="8" s="1"/>
  <c r="I53" i="8" s="1"/>
  <c r="I54" i="8" s="1"/>
  <c r="I57" i="8" s="1"/>
  <c r="I58" i="8" s="1"/>
  <c r="I59" i="8" s="1"/>
  <c r="I60" i="8" s="1"/>
  <c r="I61" i="8" s="1"/>
  <c r="E26" i="7"/>
  <c r="E29" i="7" s="1"/>
  <c r="G16" i="7"/>
  <c r="G19" i="7" s="1"/>
  <c r="H11" i="7"/>
  <c r="H14" i="7" s="1"/>
  <c r="F21" i="7"/>
  <c r="F24" i="7" s="1"/>
  <c r="D33" i="7" l="1" a="1"/>
  <c r="D33" i="7" s="1"/>
  <c r="I30" i="8"/>
  <c r="E20" i="7"/>
  <c r="E22" i="7" s="1" a="1"/>
  <c r="E22" i="7" s="1"/>
  <c r="I81" i="8"/>
  <c r="I82" i="8" s="1"/>
  <c r="I85" i="8" s="1"/>
  <c r="F23" i="7" a="1"/>
  <c r="F23" i="7" s="1"/>
  <c r="E28" i="7" a="1"/>
  <c r="E28" i="7" s="1"/>
  <c r="G18" i="7" a="1"/>
  <c r="G18" i="7" s="1"/>
  <c r="H13" i="7" a="1"/>
  <c r="H13" i="7" s="1"/>
  <c r="I807" i="8"/>
  <c r="I780" i="8"/>
  <c r="I781" i="8" s="1"/>
  <c r="I782" i="8" s="1"/>
  <c r="I785" i="8" s="1"/>
  <c r="I786" i="8" s="1"/>
  <c r="I905" i="8"/>
  <c r="I906" i="8" s="1"/>
  <c r="I907" i="8" s="1"/>
  <c r="I908" i="8" s="1"/>
  <c r="I911" i="8" s="1"/>
  <c r="I912" i="8" s="1"/>
  <c r="I913" i="8" s="1"/>
  <c r="I914" i="8" s="1"/>
  <c r="I915" i="8" s="1"/>
  <c r="I352" i="8"/>
  <c r="I353" i="8" s="1"/>
  <c r="I320" i="8"/>
  <c r="I323" i="8" s="1"/>
  <c r="I114" i="8"/>
  <c r="G15" i="7"/>
  <c r="G17" i="7" s="1" a="1"/>
  <c r="G17" i="7" s="1"/>
  <c r="F20" i="7"/>
  <c r="F22" i="7" s="1" a="1"/>
  <c r="F22" i="7" s="1"/>
  <c r="I505" i="8"/>
  <c r="I506" i="8" s="1"/>
  <c r="I684" i="8"/>
  <c r="I687" i="8" s="1"/>
  <c r="I688" i="8" s="1"/>
  <c r="I689" i="8" s="1"/>
  <c r="I690" i="8" s="1"/>
  <c r="I691" i="8" s="1"/>
  <c r="I694" i="8" s="1"/>
  <c r="I695" i="8" s="1"/>
  <c r="I696" i="8" s="1"/>
  <c r="I697" i="8" s="1"/>
  <c r="I698" i="8" s="1"/>
  <c r="I701" i="8" s="1"/>
  <c r="I199" i="8"/>
  <c r="I200" i="8" s="1"/>
  <c r="I201" i="8" s="1"/>
  <c r="I204" i="8" s="1"/>
  <c r="I205" i="8" s="1"/>
  <c r="I206" i="8" s="1"/>
  <c r="I207" i="8" s="1"/>
  <c r="I208" i="8" s="1"/>
  <c r="I211" i="8" s="1"/>
  <c r="I212" i="8" s="1"/>
  <c r="I213" i="8" s="1"/>
  <c r="I214" i="8" s="1"/>
  <c r="I215" i="8" s="1"/>
  <c r="I715" i="8"/>
  <c r="I380" i="8"/>
  <c r="I235" i="8"/>
  <c r="I264" i="8"/>
  <c r="I267" i="8" s="1"/>
  <c r="I268" i="8" s="1"/>
  <c r="I269" i="8" s="1"/>
  <c r="I270" i="8" s="1"/>
  <c r="I271" i="8" s="1"/>
  <c r="I274" i="8" s="1"/>
  <c r="I275" i="8" s="1"/>
  <c r="I746" i="8"/>
  <c r="I414" i="8"/>
  <c r="I415" i="8" s="1"/>
  <c r="I416" i="8" s="1"/>
  <c r="I417" i="8" s="1"/>
  <c r="I578" i="8"/>
  <c r="I579" i="8" s="1"/>
  <c r="I535" i="8"/>
  <c r="I173" i="8"/>
  <c r="I176" i="8" s="1"/>
  <c r="I177" i="8" s="1"/>
  <c r="I178" i="8" s="1"/>
  <c r="I179" i="8" s="1"/>
  <c r="I180" i="8" s="1"/>
  <c r="I183" i="8" s="1"/>
  <c r="I184" i="8" s="1"/>
  <c r="I185" i="8" s="1"/>
  <c r="I137" i="8"/>
  <c r="I138" i="8" s="1"/>
  <c r="I632" i="8"/>
  <c r="I633" i="8" s="1"/>
  <c r="I634" i="8" s="1"/>
  <c r="I635" i="8" s="1"/>
  <c r="I638" i="8" s="1"/>
  <c r="I639" i="8" s="1"/>
  <c r="I640" i="8" s="1"/>
  <c r="I290" i="8"/>
  <c r="I291" i="8" s="1"/>
  <c r="I292" i="8" s="1"/>
  <c r="I295" i="8" s="1"/>
  <c r="I296" i="8" s="1"/>
  <c r="I297" i="8" s="1"/>
  <c r="I298" i="8" s="1"/>
  <c r="I299" i="8" s="1"/>
  <c r="I302" i="8" s="1"/>
  <c r="I303" i="8" s="1"/>
  <c r="I304" i="8" s="1"/>
  <c r="I305" i="8" s="1"/>
  <c r="I598" i="8"/>
  <c r="I599" i="8" s="1"/>
  <c r="I600" i="8" s="1"/>
  <c r="I603" i="8" s="1"/>
  <c r="I604" i="8" s="1"/>
  <c r="I605" i="8" s="1"/>
  <c r="I473" i="8"/>
  <c r="E31" i="7"/>
  <c r="E34" i="7" s="1"/>
  <c r="F26" i="7"/>
  <c r="F29" i="7" s="1"/>
  <c r="H10" i="7"/>
  <c r="H12" i="7" s="1" a="1"/>
  <c r="H12" i="7" s="1"/>
  <c r="I11" i="7"/>
  <c r="I13" i="7" s="1" a="1"/>
  <c r="I13" i="7" s="1"/>
  <c r="H16" i="7"/>
  <c r="H19" i="7" s="1"/>
  <c r="G21" i="7"/>
  <c r="G24" i="7" s="1"/>
  <c r="I86" i="8" l="1"/>
  <c r="I87" i="8" s="1"/>
  <c r="I88" i="8" s="1"/>
  <c r="I89" i="8" s="1"/>
  <c r="I92" i="8" s="1"/>
  <c r="I93" i="8" s="1"/>
  <c r="I31" i="8"/>
  <c r="F28" i="7" a="1"/>
  <c r="F28" i="7" s="1"/>
  <c r="E33" i="7" a="1"/>
  <c r="E33" i="7" s="1"/>
  <c r="G23" i="7" a="1"/>
  <c r="G23" i="7" s="1"/>
  <c r="H18" i="7" a="1"/>
  <c r="H18" i="7" s="1"/>
  <c r="I808" i="8"/>
  <c r="I809" i="8" s="1"/>
  <c r="I787" i="8"/>
  <c r="I788" i="8" s="1"/>
  <c r="I789" i="8" s="1"/>
  <c r="I792" i="8" s="1"/>
  <c r="I793" i="8" s="1"/>
  <c r="I324" i="8"/>
  <c r="I325" i="8" s="1"/>
  <c r="I326" i="8" s="1"/>
  <c r="I327" i="8" s="1"/>
  <c r="I330" i="8" s="1"/>
  <c r="I331" i="8" s="1"/>
  <c r="I332" i="8" s="1"/>
  <c r="I333" i="8" s="1"/>
  <c r="I334" i="8" s="1"/>
  <c r="I381" i="8"/>
  <c r="I354" i="8"/>
  <c r="I115" i="8"/>
  <c r="I116" i="8" s="1"/>
  <c r="I117" i="8" s="1"/>
  <c r="I120" i="8" s="1"/>
  <c r="I121" i="8" s="1"/>
  <c r="I122" i="8" s="1"/>
  <c r="I123" i="8" s="1"/>
  <c r="I124" i="8" s="1"/>
  <c r="H15" i="7"/>
  <c r="H17" i="7" s="1" a="1"/>
  <c r="H17" i="7" s="1"/>
  <c r="G20" i="7"/>
  <c r="G22" i="7" s="1" a="1"/>
  <c r="G22" i="7" s="1"/>
  <c r="I141" i="8"/>
  <c r="I142" i="8" s="1"/>
  <c r="I143" i="8" s="1"/>
  <c r="I144" i="8" s="1"/>
  <c r="I145" i="8" s="1"/>
  <c r="I148" i="8" s="1"/>
  <c r="I149" i="8" s="1"/>
  <c r="I150" i="8" s="1"/>
  <c r="I151" i="8" s="1"/>
  <c r="I152" i="8" s="1"/>
  <c r="I507" i="8"/>
  <c r="I508" i="8" s="1"/>
  <c r="I509" i="8" s="1"/>
  <c r="I512" i="8" s="1"/>
  <c r="I513" i="8" s="1"/>
  <c r="I514" i="8" s="1"/>
  <c r="I515" i="8" s="1"/>
  <c r="I516" i="8" s="1"/>
  <c r="I519" i="8" s="1"/>
  <c r="I716" i="8"/>
  <c r="I606" i="8"/>
  <c r="I607" i="8" s="1"/>
  <c r="I236" i="8"/>
  <c r="I239" i="8" s="1"/>
  <c r="I536" i="8"/>
  <c r="I537" i="8" s="1"/>
  <c r="I540" i="8" s="1"/>
  <c r="I541" i="8" s="1"/>
  <c r="I542" i="8" s="1"/>
  <c r="I543" i="8" s="1"/>
  <c r="I544" i="8" s="1"/>
  <c r="I547" i="8" s="1"/>
  <c r="I548" i="8" s="1"/>
  <c r="I549" i="8" s="1"/>
  <c r="I550" i="8" s="1"/>
  <c r="I747" i="8"/>
  <c r="I750" i="8" s="1"/>
  <c r="I751" i="8" s="1"/>
  <c r="I752" i="8" s="1"/>
  <c r="I753" i="8" s="1"/>
  <c r="I754" i="8" s="1"/>
  <c r="I757" i="8" s="1"/>
  <c r="I758" i="8" s="1"/>
  <c r="I759" i="8" s="1"/>
  <c r="I760" i="8" s="1"/>
  <c r="I761" i="8" s="1"/>
  <c r="I418" i="8"/>
  <c r="I421" i="8" s="1"/>
  <c r="I422" i="8" s="1"/>
  <c r="I423" i="8" s="1"/>
  <c r="I424" i="8" s="1"/>
  <c r="I425" i="8" s="1"/>
  <c r="I428" i="8" s="1"/>
  <c r="I474" i="8"/>
  <c r="H21" i="7"/>
  <c r="H24" i="7" s="1"/>
  <c r="G26" i="7"/>
  <c r="G29" i="7" s="1"/>
  <c r="I16" i="7"/>
  <c r="I18" i="7" s="1" a="1"/>
  <c r="I18" i="7" s="1"/>
  <c r="I10" i="7"/>
  <c r="I12" i="7" s="1" a="1"/>
  <c r="I12" i="7" s="1"/>
  <c r="F31" i="7"/>
  <c r="F34" i="7" s="1"/>
  <c r="E25" i="7"/>
  <c r="E27" i="7" s="1" a="1"/>
  <c r="E27" i="7" s="1"/>
  <c r="D25" i="7" l="1"/>
  <c r="D27" i="7" s="1" a="1"/>
  <c r="D27" i="7" s="1"/>
  <c r="I32" i="8"/>
  <c r="G10" i="7" s="1"/>
  <c r="G12" i="7" s="1" a="1"/>
  <c r="G12" i="7" s="1"/>
  <c r="F33" i="7" a="1"/>
  <c r="F33" i="7" s="1"/>
  <c r="G28" i="7" a="1"/>
  <c r="G28" i="7" s="1"/>
  <c r="H23" i="7" a="1"/>
  <c r="H23" i="7" s="1"/>
  <c r="I810" i="8"/>
  <c r="I813" i="8" s="1"/>
  <c r="I814" i="8" s="1"/>
  <c r="I815" i="8" s="1"/>
  <c r="I816" i="8" s="1"/>
  <c r="I817" i="8" s="1"/>
  <c r="I240" i="8"/>
  <c r="I241" i="8" s="1"/>
  <c r="I242" i="8" s="1"/>
  <c r="I243" i="8" s="1"/>
  <c r="I355" i="8"/>
  <c r="I358" i="8" s="1"/>
  <c r="I359" i="8" s="1"/>
  <c r="I360" i="8" s="1"/>
  <c r="I361" i="8" s="1"/>
  <c r="I362" i="8" s="1"/>
  <c r="I382" i="8"/>
  <c r="I15" i="7"/>
  <c r="I17" i="7" s="1" a="1"/>
  <c r="I17" i="7" s="1"/>
  <c r="H20" i="7"/>
  <c r="H22" i="7" s="1" a="1"/>
  <c r="H22" i="7" s="1"/>
  <c r="I477" i="8"/>
  <c r="I478" i="8" s="1"/>
  <c r="I479" i="8" s="1"/>
  <c r="I480" i="8" s="1"/>
  <c r="I481" i="8" s="1"/>
  <c r="I484" i="8" s="1"/>
  <c r="I485" i="8" s="1"/>
  <c r="I486" i="8" s="1"/>
  <c r="I487" i="8" s="1"/>
  <c r="I488" i="8" s="1"/>
  <c r="I717" i="8"/>
  <c r="I718" i="8" s="1"/>
  <c r="I719" i="8" s="1"/>
  <c r="I722" i="8" s="1"/>
  <c r="I723" i="8" s="1"/>
  <c r="I724" i="8" s="1"/>
  <c r="I725" i="8" s="1"/>
  <c r="I726" i="8" s="1"/>
  <c r="I729" i="8" s="1"/>
  <c r="I21" i="7"/>
  <c r="I23" i="7" s="1" a="1"/>
  <c r="I23" i="7" s="1"/>
  <c r="G31" i="7"/>
  <c r="G34" i="7" s="1"/>
  <c r="H26" i="7"/>
  <c r="H29" i="7" s="1"/>
  <c r="I730" i="8" l="1"/>
  <c r="D10" i="7"/>
  <c r="D12" i="7" s="1" a="1"/>
  <c r="D12" i="7" s="1"/>
  <c r="G33" i="7" a="1"/>
  <c r="G33" i="7" s="1"/>
  <c r="H28" i="7" a="1"/>
  <c r="H28" i="7" s="1"/>
  <c r="I820" i="8"/>
  <c r="I821" i="8" s="1"/>
  <c r="I822" i="8" s="1"/>
  <c r="I823" i="8" s="1"/>
  <c r="I365" i="8"/>
  <c r="I366" i="8" s="1"/>
  <c r="I383" i="8"/>
  <c r="I386" i="8" s="1"/>
  <c r="I20" i="7"/>
  <c r="I22" i="7" s="1" a="1"/>
  <c r="I22" i="7" s="1"/>
  <c r="F25" i="7"/>
  <c r="F27" i="7" s="1" a="1"/>
  <c r="F27" i="7" s="1"/>
  <c r="H31" i="7"/>
  <c r="H34" i="7" s="1"/>
  <c r="I26" i="7"/>
  <c r="I28" i="7" s="1" a="1"/>
  <c r="I28" i="7" s="1"/>
  <c r="G25" i="7"/>
  <c r="G27" i="7" s="1" a="1"/>
  <c r="G27" i="7" s="1"/>
  <c r="I731" i="8" l="1"/>
  <c r="F10" i="7" s="1"/>
  <c r="F12" i="7" s="1" a="1"/>
  <c r="F12" i="7" s="1"/>
  <c r="E10" i="7"/>
  <c r="E12" i="7" s="1" a="1"/>
  <c r="E12" i="7" s="1"/>
  <c r="H33" i="7" a="1"/>
  <c r="H33" i="7" s="1"/>
  <c r="I387" i="8"/>
  <c r="I388" i="8" s="1"/>
  <c r="I389" i="8" s="1"/>
  <c r="I390" i="8" s="1"/>
  <c r="I393" i="8" s="1"/>
  <c r="I394" i="8" s="1"/>
  <c r="I395" i="8" s="1"/>
  <c r="I396" i="8" s="1"/>
  <c r="I397" i="8" s="1"/>
  <c r="I25" i="7"/>
  <c r="I27" i="7" s="1" a="1"/>
  <c r="I27" i="7" s="1"/>
  <c r="H30" i="7"/>
  <c r="H32" i="7" s="1" a="1"/>
  <c r="H32" i="7" s="1"/>
  <c r="I31" i="7"/>
  <c r="I33" i="7" s="1" a="1"/>
  <c r="I33" i="7" s="1"/>
  <c r="I30" i="7" l="1"/>
  <c r="I32" i="7" s="1" a="1"/>
  <c r="I32" i="7" s="1"/>
  <c r="H25" i="7"/>
  <c r="H27" i="7" s="1" a="1"/>
  <c r="H27" i="7" s="1"/>
  <c r="D30" i="7"/>
  <c r="D32" i="7" s="1" a="1"/>
  <c r="D32" i="7" s="1"/>
  <c r="E30" i="7" l="1"/>
  <c r="E32" i="7" s="1" a="1"/>
  <c r="E32" i="7" s="1"/>
  <c r="F30" i="7" l="1"/>
  <c r="F32" i="7" s="1" a="1"/>
  <c r="F32" i="7" s="1"/>
  <c r="G30" i="7" l="1"/>
  <c r="G32" i="7" s="1" a="1"/>
  <c r="G32"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<sst xmlns="http://schemas.openxmlformats.org/spreadsheetml/2006/main" count="961" uniqueCount="186">
  <si>
    <t>Sales close</t>
  </si>
  <si>
    <t xml:space="preserve">Revenue </t>
  </si>
  <si>
    <t>Payroll</t>
  </si>
  <si>
    <t>Existing MRR</t>
  </si>
  <si>
    <t>New business</t>
  </si>
  <si>
    <t>Variable Fees</t>
  </si>
  <si>
    <t>Meeting to review monthly revenue</t>
  </si>
  <si>
    <t>Finalize</t>
  </si>
  <si>
    <t>Download Code payroll files</t>
  </si>
  <si>
    <t>Book payroll</t>
  </si>
  <si>
    <t>Reconciled payroll expense booked to payroll reports</t>
  </si>
  <si>
    <t>Meeting to review payroll JE's through GL (P&amp;L &amp; BS)</t>
  </si>
  <si>
    <t>Deferred Revenue</t>
  </si>
  <si>
    <t>Generate &amp; distribute Deferred Revenue Detail Schedule, must tie to the BS by subsidiary</t>
  </si>
  <si>
    <t>Meeting to review Deferred Revenue Detail Schedule</t>
  </si>
  <si>
    <t>Unbilled</t>
  </si>
  <si>
    <t>Generate &amp; distribute Unbilled Revenue Detail Schedule, must tie to the BS by subsidiary</t>
  </si>
  <si>
    <t>AR Aging</t>
  </si>
  <si>
    <t>Ensure all payments are posted in NS</t>
  </si>
  <si>
    <t>Clean up aging to eliminate negative balances</t>
  </si>
  <si>
    <t>Meeting to review AR Aging</t>
  </si>
  <si>
    <t>Accrued Expenses</t>
  </si>
  <si>
    <t>Maintain monthly accrued expenses</t>
  </si>
  <si>
    <t>Generate &amp; distribute Accrued Expense Detail Schedule, must tie to the BS by subsidiary</t>
  </si>
  <si>
    <t>Meeting to review acrued expenses and month-over-months movements</t>
  </si>
  <si>
    <t>Prepaid Expenses</t>
  </si>
  <si>
    <t>Maintain monthly prepaid expenses</t>
  </si>
  <si>
    <t>Generate &amp; distribute Prepaid Expense Detail Schedule, must tie to the BS by subsidiary</t>
  </si>
  <si>
    <t>Meeting to review Prepaid Expenses and month-over-months movements</t>
  </si>
  <si>
    <t>AP Aging</t>
  </si>
  <si>
    <t>Run &amp; Save AP Aging  in month end folder on Egnyte</t>
  </si>
  <si>
    <t>Meeting to review AP Aging</t>
  </si>
  <si>
    <t>Credit Cards</t>
  </si>
  <si>
    <t>Download credit reports</t>
  </si>
  <si>
    <t>Reconcile &amp; process</t>
  </si>
  <si>
    <t>Banking</t>
  </si>
  <si>
    <t>Download all month end bank statements</t>
  </si>
  <si>
    <t>Ensure all transactions are processed in NS</t>
  </si>
  <si>
    <t>Bank reconciliation meeting</t>
  </si>
  <si>
    <t>Mid Close analysis</t>
  </si>
  <si>
    <t>Download NS activity/analyze and prepare summary report ad distribute to the team for review</t>
  </si>
  <si>
    <t>India Accounting</t>
  </si>
  <si>
    <t>VAT/GST/SST Gratuity, etc</t>
  </si>
  <si>
    <t>Intercompany transactions</t>
  </si>
  <si>
    <t>Reconcile and book to the GL</t>
  </si>
  <si>
    <t>Assemble intercompany detail</t>
  </si>
  <si>
    <t>Meeting to review iI/C transactions</t>
  </si>
  <si>
    <t>Final Review</t>
  </si>
  <si>
    <t>Final review and adjusting entries</t>
  </si>
  <si>
    <t>Sunday</t>
  </si>
  <si>
    <t>Monday</t>
  </si>
  <si>
    <t>Tuesday</t>
  </si>
  <si>
    <t>Wednesday</t>
  </si>
  <si>
    <t>Thursday</t>
  </si>
  <si>
    <t>Friday</t>
  </si>
  <si>
    <t>Saturday</t>
  </si>
  <si>
    <t>Planning &amp; Forecasting</t>
  </si>
  <si>
    <t>Close &amp; Accounting</t>
  </si>
  <si>
    <t>Cash &amp; Treasury</t>
  </si>
  <si>
    <t>Compliance / Audit</t>
  </si>
  <si>
    <t>Systems / Tools / Admin</t>
  </si>
  <si>
    <t>Projects / Strategic Initiatives</t>
  </si>
  <si>
    <t>Not Started</t>
  </si>
  <si>
    <t>In Progress</t>
  </si>
  <si>
    <t>Done</t>
  </si>
  <si>
    <t>Date</t>
  </si>
  <si>
    <t>Priority</t>
  </si>
  <si>
    <t>Frequency</t>
  </si>
  <si>
    <t>Status</t>
  </si>
  <si>
    <t>Critical</t>
  </si>
  <si>
    <t>Exceptional</t>
  </si>
  <si>
    <t>Weekday</t>
  </si>
  <si>
    <t>July</t>
  </si>
  <si>
    <t>▪</t>
  </si>
  <si>
    <t xml:space="preserve">Audience </t>
  </si>
  <si>
    <t>Frecuency</t>
  </si>
  <si>
    <t>Category / Workstream</t>
  </si>
  <si>
    <t>Main Owner</t>
  </si>
  <si>
    <t>Blocked / Delayed</t>
  </si>
  <si>
    <t xml:space="preserve">Recurring </t>
  </si>
  <si>
    <t>External Reporting</t>
  </si>
  <si>
    <t xml:space="preserve">Internal Reporting </t>
  </si>
  <si>
    <t>Month</t>
  </si>
  <si>
    <t>October</t>
  </si>
  <si>
    <t>August</t>
  </si>
  <si>
    <t>September</t>
  </si>
  <si>
    <t>November</t>
  </si>
  <si>
    <t>December</t>
  </si>
  <si>
    <t>Year</t>
  </si>
  <si>
    <t>Start</t>
  </si>
  <si>
    <t>Deadline</t>
  </si>
  <si>
    <t>US Holiday</t>
  </si>
  <si>
    <t>India Holiday</t>
  </si>
  <si>
    <t>Finance day</t>
  </si>
  <si>
    <t>Entire team</t>
  </si>
  <si>
    <t>Team Members</t>
  </si>
  <si>
    <t>Main Owner / Entire Team</t>
  </si>
  <si>
    <t>Finance Team Recurrig Commitments &amp; Deliverables</t>
  </si>
  <si>
    <t>January</t>
  </si>
  <si>
    <t>February</t>
  </si>
  <si>
    <t>March</t>
  </si>
  <si>
    <t>April</t>
  </si>
  <si>
    <t>May</t>
  </si>
  <si>
    <t>June</t>
  </si>
  <si>
    <t xml:space="preserve">For more detail use the following schedule: </t>
  </si>
  <si>
    <t>Example Special task 1</t>
  </si>
  <si>
    <t>Example Special task 2</t>
  </si>
  <si>
    <t>Ad Hoc Deadlines</t>
  </si>
  <si>
    <t>N/A</t>
  </si>
  <si>
    <t>Example Special task 3</t>
  </si>
  <si>
    <t>Detailed Tasks</t>
  </si>
  <si>
    <t>7/232025</t>
  </si>
  <si>
    <t>2023 Audit Related example 1</t>
  </si>
  <si>
    <t>2024 Audit Related example 2</t>
  </si>
  <si>
    <t>2025 Audit Related example 3</t>
  </si>
  <si>
    <t>2026 Audit Related example 4</t>
  </si>
  <si>
    <r>
      <t xml:space="preserve">Click on Month list </t>
    </r>
    <r>
      <rPr>
        <b/>
        <sz val="12"/>
        <color rgb="FF009C9C"/>
        <rFont val="Aptos"/>
        <family val="2"/>
      </rPr>
      <t>(G7)</t>
    </r>
    <r>
      <rPr>
        <sz val="12"/>
        <color rgb="FFFF7A21"/>
        <rFont val="Aptos"/>
        <family val="2"/>
      </rPr>
      <t xml:space="preserve"> to view one team member only</t>
    </r>
  </si>
  <si>
    <r>
      <t>Click on Year list</t>
    </r>
    <r>
      <rPr>
        <b/>
        <sz val="12"/>
        <color rgb="FF009C9C"/>
        <rFont val="Aptos"/>
        <family val="2"/>
      </rPr>
      <t xml:space="preserve"> (H7</t>
    </r>
    <r>
      <rPr>
        <sz val="12"/>
        <color rgb="FFFF7A21"/>
        <rFont val="Aptos"/>
        <family val="2"/>
      </rPr>
      <t>) to view one team member only</t>
    </r>
  </si>
  <si>
    <r>
      <t xml:space="preserve">Click on Main Owner list </t>
    </r>
    <r>
      <rPr>
        <b/>
        <sz val="12"/>
        <color rgb="FF009C9C"/>
        <rFont val="Aptos"/>
        <family val="2"/>
      </rPr>
      <t>(I7)</t>
    </r>
    <r>
      <rPr>
        <sz val="12"/>
        <color rgb="FFFF7A21"/>
        <rFont val="Aptos"/>
        <family val="2"/>
      </rPr>
      <t xml:space="preserve"> to view one team member only</t>
    </r>
  </si>
  <si>
    <r>
      <t>Internal Reporting</t>
    </r>
    <r>
      <rPr>
        <sz val="10"/>
        <color theme="1"/>
        <rFont val="Aptos"/>
        <family val="2"/>
      </rPr>
      <t xml:space="preserve"> </t>
    </r>
  </si>
  <si>
    <r>
      <t>Recurring</t>
    </r>
    <r>
      <rPr>
        <sz val="10"/>
        <color theme="1"/>
        <rFont val="Aptos"/>
        <family val="2"/>
      </rPr>
      <t xml:space="preserve"> </t>
    </r>
  </si>
  <si>
    <r>
      <t>High</t>
    </r>
    <r>
      <rPr>
        <sz val="10"/>
        <color theme="1"/>
        <rFont val="Aptos"/>
        <family val="2"/>
      </rPr>
      <t xml:space="preserve"> </t>
    </r>
  </si>
  <si>
    <r>
      <t>Normal</t>
    </r>
    <r>
      <rPr>
        <sz val="10"/>
        <color theme="1"/>
        <rFont val="Aptos"/>
        <family val="2"/>
      </rPr>
      <t xml:space="preserve"> </t>
    </r>
  </si>
  <si>
    <t>Labor Day</t>
  </si>
  <si>
    <t>Christmas Day</t>
  </si>
  <si>
    <t>Holiday?</t>
  </si>
  <si>
    <t>Simfoni Shutdown</t>
  </si>
  <si>
    <t>Yes</t>
  </si>
  <si>
    <t>No</t>
  </si>
  <si>
    <t>Detailed Task</t>
  </si>
  <si>
    <t>US Independence Day</t>
  </si>
  <si>
    <t>India Independence Day</t>
  </si>
  <si>
    <t>Gandhi Jayanti</t>
  </si>
  <si>
    <r>
      <t>Finance Team</t>
    </r>
    <r>
      <rPr>
        <b/>
        <sz val="28"/>
        <color rgb="FF00C9C4"/>
        <rFont val="Aptos Black"/>
        <family val="2"/>
      </rPr>
      <t xml:space="preserve"> </t>
    </r>
    <r>
      <rPr>
        <b/>
        <sz val="28"/>
        <color rgb="FF009C9C"/>
        <rFont val="Aptos Black"/>
        <family val="2"/>
      </rPr>
      <t>Commitments</t>
    </r>
  </si>
  <si>
    <t>Commitments</t>
  </si>
  <si>
    <t xml:space="preserve">High </t>
  </si>
  <si>
    <r>
      <t>Team Involved</t>
    </r>
    <r>
      <rPr>
        <i/>
        <sz val="10"/>
        <color theme="1"/>
        <rFont val="Aptos"/>
        <family val="2"/>
      </rPr>
      <t xml:space="preserve"> (alphabetical order)</t>
    </r>
  </si>
  <si>
    <t>A/R Report by Delivery Function</t>
  </si>
  <si>
    <t>2023 Audit Related example 2</t>
  </si>
  <si>
    <t>2023 Audit Related example 3</t>
  </si>
  <si>
    <t>2023 Audit Related example 4</t>
  </si>
  <si>
    <r>
      <t xml:space="preserve">Click on Detailed Task </t>
    </r>
    <r>
      <rPr>
        <b/>
        <sz val="12"/>
        <color rgb="FF009C9C"/>
        <rFont val="Aptos"/>
        <family val="2"/>
      </rPr>
      <t>(E4)</t>
    </r>
    <r>
      <rPr>
        <sz val="12"/>
        <color rgb="FFFF7A21"/>
        <rFont val="Aptos"/>
        <family val="2"/>
      </rPr>
      <t xml:space="preserve"> to view team members involved</t>
    </r>
  </si>
  <si>
    <r>
      <t xml:space="preserve">This calendar show only </t>
    </r>
    <r>
      <rPr>
        <b/>
        <u/>
        <sz val="14"/>
        <color theme="0"/>
        <rFont val="Aptos"/>
        <family val="2"/>
      </rPr>
      <t>Deadlines</t>
    </r>
    <r>
      <rPr>
        <sz val="14"/>
        <color theme="0"/>
        <rFont val="Aptos"/>
        <family val="2"/>
      </rPr>
      <t xml:space="preserve"> for every Finance Team commitment. Each team should organize their workstreams to present </t>
    </r>
    <r>
      <rPr>
        <b/>
        <u/>
        <sz val="14"/>
        <color theme="0"/>
        <rFont val="Aptos"/>
        <family val="2"/>
      </rPr>
      <t>reviewed &amp; final deliverables and fulfill each task</t>
    </r>
    <r>
      <rPr>
        <sz val="14"/>
        <color theme="0"/>
        <rFont val="Aptos"/>
        <family val="2"/>
      </rPr>
      <t xml:space="preserve"> on the deadline date.</t>
    </r>
  </si>
  <si>
    <t>Finance Team Commitments &amp; Deliverables breakdown details</t>
  </si>
  <si>
    <t>CFO</t>
  </si>
  <si>
    <t>Director</t>
  </si>
  <si>
    <t>Senior Manager</t>
  </si>
  <si>
    <t>Manager</t>
  </si>
  <si>
    <t>Senior Analyst</t>
  </si>
  <si>
    <t>FP&amp;A Analyst</t>
  </si>
  <si>
    <t>CEO Report</t>
  </si>
  <si>
    <t>CEO / SLT</t>
  </si>
  <si>
    <t>CEO</t>
  </si>
  <si>
    <t xml:space="preserve">Director / cfo </t>
  </si>
  <si>
    <t>CTO</t>
  </si>
  <si>
    <t>Board Member</t>
  </si>
  <si>
    <t>Board  Report</t>
  </si>
  <si>
    <t>Board Presentation</t>
  </si>
  <si>
    <t>R&amp;D Report for CTO</t>
  </si>
  <si>
    <t>Bank Reporting</t>
  </si>
  <si>
    <t>cfo / Bank Bank</t>
  </si>
  <si>
    <t>Accounting</t>
  </si>
  <si>
    <t>Team Member 1</t>
  </si>
  <si>
    <t>Team Member 2</t>
  </si>
  <si>
    <t>Team Member 3</t>
  </si>
  <si>
    <t>Team Member 4</t>
  </si>
  <si>
    <t>Team Member 5</t>
  </si>
  <si>
    <t>Team Member 6</t>
  </si>
  <si>
    <t>Team Member 7</t>
  </si>
  <si>
    <t>Team Member 8</t>
  </si>
  <si>
    <t>Team Member 9</t>
  </si>
  <si>
    <t>Financial Reporting Package Reporting</t>
  </si>
  <si>
    <t>Financial Reporting Package Distribution</t>
  </si>
  <si>
    <t>Financial Reporting Package Final Review</t>
  </si>
  <si>
    <t>Prep of Financial Reporting Package &amp; Work Copy</t>
  </si>
  <si>
    <t>A/P A/R Analyst</t>
  </si>
  <si>
    <t>Payroll Analyst</t>
  </si>
  <si>
    <t>Controller</t>
  </si>
  <si>
    <t>Finance Manager</t>
  </si>
  <si>
    <t>Senior Finance Manager</t>
  </si>
  <si>
    <t>Senior Finance Analyst</t>
  </si>
  <si>
    <t>Junior Finance Analyst</t>
  </si>
  <si>
    <t>Bank Report</t>
  </si>
  <si>
    <t>R&amp;D Report</t>
  </si>
  <si>
    <t>Meeting to review Unbilled Revenue Detail Schedule</t>
  </si>
  <si>
    <t>Run &amp; Save AR Aging  in month end folder on One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</si>
</sst>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yy;@"/>
    <numFmt numFmtId="165" formatCode="d;@"/>
    <numFmt numFmtId="166" formatCode="[$-409]d\-mmm;@"/>
    <numFmt numFmtId="167" formatCode="d\ mmm"/>
  </numFmts>
  <fonts count="52" x14ac:knownFonts="1">
    <font>
      <sz val="10"/>
      <color theme="1"/>
      <name val="Aptos"/>
      <family val="2"/>
    </font>
    <font>
      <b/>
      <sz val="10"/>
      <color theme="0"/>
      <name val="Aptos"/>
      <family val="2"/>
    </font>
    <font>
      <b/>
      <sz val="10"/>
      <color theme="1"/>
      <name val="Aptos"/>
      <family val="2"/>
    </font>
    <font>
      <sz val="11"/>
      <color theme="1"/>
      <name val="Aptos Narrow"/>
      <family val="2"/>
      <scheme val="minor"/>
    </font>
    <font>
      <sz val="8"/>
      <name val="Aptos"/>
      <family val="2"/>
    </font>
    <font>
      <b/>
      <sz val="16"/>
      <color rgb="FF004F7D"/>
      <name val="Aptos"/>
      <family val="2"/>
    </font>
    <font>
      <b/>
      <sz val="10"/>
      <color rgb="FF009C9C"/>
      <name val="Aptos"/>
      <family val="2"/>
    </font>
    <font>
      <b/>
      <sz val="10"/>
      <color rgb="FFFF7A21"/>
      <name val="Aptos"/>
      <family val="2"/>
    </font>
    <font>
      <u/>
      <sz val="14"/>
      <color rgb="FF002060"/>
      <name val="Aptos"/>
      <family val="2"/>
    </font>
    <font>
      <sz val="10"/>
      <color rgb="FF004F7D"/>
      <name val="Aptos"/>
      <family val="2"/>
    </font>
    <font>
      <i/>
      <sz val="10"/>
      <color rgb="FF004F7D"/>
      <name val="Aptos"/>
      <family val="2"/>
    </font>
    <font>
      <b/>
      <sz val="12"/>
      <color rgb="FFFF7A21"/>
      <name val="Aptos"/>
      <family val="2"/>
    </font>
    <font>
      <b/>
      <sz val="18"/>
      <color rgb="FF004F7D"/>
      <name val="Aptos"/>
      <family val="2"/>
    </font>
    <font>
      <u/>
      <sz val="10"/>
      <color theme="10"/>
      <name val="Aptos"/>
      <family val="2"/>
    </font>
    <font>
      <sz val="12"/>
      <color theme="5"/>
      <name val="Aptos"/>
      <family val="2"/>
    </font>
    <font>
      <sz val="11"/>
      <color rgb="FF004F7D"/>
      <name val="Aptos"/>
      <family val="2"/>
    </font>
    <font>
      <sz val="12"/>
      <color rgb="FF004F7D"/>
      <name val="Aptos"/>
      <family val="2"/>
    </font>
    <font>
      <b/>
      <sz val="12"/>
      <color theme="0"/>
      <name val="Aptos"/>
      <family val="2"/>
    </font>
    <font>
      <b/>
      <sz val="10"/>
      <color rgb="FF004F7D"/>
      <name val="Aptos"/>
      <family val="2"/>
    </font>
    <font>
      <b/>
      <sz val="12"/>
      <color rgb="FF009C9C"/>
      <name val="Aptos"/>
      <family val="2"/>
    </font>
    <font>
      <sz val="10"/>
      <color theme="3" tint="0.249977111117893"/>
      <name val="Aptos"/>
      <family val="2"/>
    </font>
    <font>
      <sz val="12"/>
      <color theme="3" tint="0.249977111117893"/>
      <name val="Aptos"/>
      <family val="2"/>
    </font>
    <font>
      <b/>
      <sz val="10"/>
      <color theme="3" tint="0.249977111117893"/>
      <name val="Aptos"/>
      <family val="2"/>
    </font>
    <font>
      <i/>
      <sz val="10"/>
      <color theme="3" tint="0.249977111117893"/>
      <name val="Aptos"/>
      <family val="2"/>
    </font>
    <font>
      <b/>
      <sz val="12"/>
      <color theme="0"/>
      <name val="Aptos Black"/>
      <family val="2"/>
    </font>
    <font>
      <b/>
      <sz val="14"/>
      <color theme="0"/>
      <name val="Aptos Black"/>
      <family val="2"/>
    </font>
    <font>
      <b/>
      <sz val="16"/>
      <color theme="0"/>
      <name val="Aptos Black"/>
      <family val="2"/>
    </font>
    <font>
      <sz val="11"/>
      <color theme="1"/>
      <name val="Aptos"/>
      <family val="2"/>
    </font>
    <font>
      <sz val="12"/>
      <color rgb="FFFF7A21"/>
      <name val="Aptos"/>
      <family val="2"/>
    </font>
    <font>
      <sz val="11"/>
      <color theme="0"/>
      <name val="Aptos"/>
      <family val="2"/>
    </font>
    <font>
      <b/>
      <sz val="11"/>
      <color rgb="FF004F7D"/>
      <name val="Aptos"/>
      <family val="2"/>
    </font>
    <font>
      <b/>
      <sz val="11"/>
      <color theme="5"/>
      <name val="Aptos"/>
      <family val="2"/>
    </font>
    <font>
      <sz val="11"/>
      <color rgb="FF004F7D"/>
      <name val="Aptos ExtraBold"/>
      <family val="2"/>
    </font>
    <font>
      <b/>
      <sz val="11"/>
      <color theme="1"/>
      <name val="Aptos"/>
      <family val="2"/>
    </font>
    <font>
      <sz val="11"/>
      <color theme="3" tint="0.249977111117893"/>
      <name val="Aptos"/>
      <family val="2"/>
    </font>
    <font>
      <sz val="12"/>
      <color theme="0"/>
      <name val="Aptos Black"/>
      <family val="2"/>
    </font>
    <font>
      <sz val="12"/>
      <color theme="0"/>
      <name val="Aptos"/>
      <family val="2"/>
    </font>
    <font>
      <sz val="12"/>
      <color theme="1"/>
      <name val="Aptos Black"/>
      <family val="2"/>
    </font>
    <font>
      <b/>
      <sz val="14"/>
      <color rgb="FF004F7D"/>
      <name val="Aptos"/>
      <family val="2"/>
    </font>
    <font>
      <b/>
      <sz val="28"/>
      <color theme="0"/>
      <name val="Aptos Black"/>
      <family val="2"/>
    </font>
    <font>
      <b/>
      <sz val="28"/>
      <color rgb="FF00C9C4"/>
      <name val="Aptos Black"/>
      <family val="2"/>
    </font>
    <font>
      <i/>
      <sz val="10"/>
      <color theme="1"/>
      <name val="Aptos"/>
      <family val="2"/>
    </font>
    <font>
      <sz val="10"/>
      <name val="Aptos"/>
      <family val="2"/>
    </font>
    <font>
      <b/>
      <sz val="28"/>
      <color rgb="FF009C9C"/>
      <name val="Aptos Black"/>
      <family val="2"/>
    </font>
    <font>
      <sz val="10"/>
      <color rgb="FFC00000"/>
      <name val="Aptos"/>
      <family val="2"/>
    </font>
    <font>
      <sz val="14"/>
      <color theme="3" tint="0.249977111117893"/>
      <name val="Aptos"/>
      <family val="2"/>
    </font>
    <font>
      <b/>
      <sz val="14"/>
      <color rgb="FFFF7A21"/>
      <name val="Aptos"/>
      <family val="2"/>
    </font>
    <font>
      <sz val="14"/>
      <color rgb="FF009C9C"/>
      <name val="Aptos"/>
      <family val="2"/>
    </font>
    <font>
      <sz val="14"/>
      <color theme="0" tint="-0.499984740745262"/>
      <name val="Aptos"/>
      <family val="2"/>
    </font>
    <font>
      <b/>
      <sz val="14"/>
      <color theme="0"/>
      <name val="Aptos"/>
      <family val="2"/>
    </font>
    <font>
      <sz val="14"/>
      <color theme="0"/>
      <name val="Aptos"/>
      <family val="2"/>
    </font>
    <font>
      <b/>
      <u/>
      <sz val="14"/>
      <color theme="0"/>
      <name val="Aptos"/>
      <family val="2"/>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7A21"/>
        <bgColor indexed="64"/>
      </patternFill>
    </fill>
    <fill>
      <patternFill patternType="solid">
        <fgColor rgb="FF0070C0"/>
        <bgColor indexed="64"/>
      </patternFill>
    </fill>
    <fill>
      <patternFill patternType="solid">
        <fgColor theme="0" tint="-0.14999847407452621"/>
        <bgColor indexed="64"/>
      </patternFill>
    </fill>
    <fill>
      <patternFill patternType="solid">
        <fgColor rgb="FF004F7D"/>
        <bgColor indexed="64"/>
      </patternFill>
    </fill>
    <fill>
      <patternFill patternType="solid">
        <fgColor rgb="FFE6E7E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ck">
        <color rgb="FFE6E7E8"/>
      </left>
      <right style="thick">
        <color rgb="FFE6E7E8"/>
      </right>
      <top style="thick">
        <color rgb="FFE6E7E8"/>
      </top>
      <bottom/>
      <diagonal/>
    </border>
    <border>
      <left style="thick">
        <color rgb="FFE6E7E8"/>
      </left>
      <right style="thick">
        <color rgb="FFE6E7E8"/>
      </right>
      <top/>
      <bottom/>
      <diagonal/>
    </border>
    <border>
      <left style="thick">
        <color rgb="FFE6E7E8"/>
      </left>
      <right style="thick">
        <color rgb="FFE6E7E8"/>
      </right>
      <top/>
      <bottom style="thick">
        <color rgb="FFE6E7E8"/>
      </bottom>
      <diagonal/>
    </border>
    <border>
      <left/>
      <right style="thin">
        <color indexed="64"/>
      </right>
      <top style="thin">
        <color indexed="64"/>
      </top>
      <bottom style="thin">
        <color indexed="64"/>
      </bottom>
      <diagonal/>
    </border>
    <border>
      <left/>
      <right/>
      <top/>
      <bottom style="thin">
        <color indexed="64"/>
      </bottom>
      <diagonal/>
    </border>
    <border>
      <left/>
      <right style="thick">
        <color rgb="FFE6E7E8"/>
      </right>
      <top style="thick">
        <color rgb="FFE6E7E8"/>
      </top>
      <bottom/>
      <diagonal/>
    </border>
    <border>
      <left/>
      <right style="thick">
        <color rgb="FFE6E7E8"/>
      </right>
      <top/>
      <bottom/>
      <diagonal/>
    </border>
  </borders>
  <cellStyleXfs count="3">
    <xf numFmtId="0" fontId="0" fillId="0" borderId="0"/>
    <xf numFmtId="0" fontId="3" fillId="0" borderId="0"/>
    <xf numFmtId="0" fontId="13" fillId="0" borderId="0" applyNumberFormat="0" applyFill="0" applyBorder="0" applyAlignment="0" applyProtection="0"/>
  </cellStyleXfs>
  <cellXfs count="101">
    <xf numFmtId="0" fontId="0" fillId="0" borderId="0" xfId="0"/>
    <xf numFmtId="0" fontId="0" fillId="3" borderId="1" xfId="0" applyFill="1" applyBorder="1"/>
    <xf numFmtId="0" fontId="0" fillId="2" borderId="0" xfId="0" applyFill="1"/>
    <xf numFmtId="0" fontId="0" fillId="2" borderId="0" xfId="0" applyFill="1" applyAlignment="1">
      <alignment horizontal="center"/>
    </xf>
    <xf numFmtId="14" fontId="0" fillId="2" borderId="0" xfId="0" applyNumberFormat="1" applyFill="1"/>
    <xf numFmtId="0" fontId="0" fillId="2" borderId="1" xfId="0" applyFill="1" applyBorder="1" applyAlignment="1">
      <alignment horizontal="center"/>
    </xf>
    <xf numFmtId="0" fontId="8" fillId="2" borderId="0" xfId="0" applyFont="1" applyFill="1" applyAlignment="1">
      <alignment vertical="center"/>
    </xf>
    <xf numFmtId="0" fontId="9" fillId="2" borderId="0" xfId="0" applyFont="1" applyFill="1"/>
    <xf numFmtId="0" fontId="0" fillId="2" borderId="1" xfId="0" applyFill="1" applyBorder="1"/>
    <xf numFmtId="0" fontId="1" fillId="5" borderId="1" xfId="0" applyFont="1" applyFill="1" applyBorder="1" applyAlignment="1">
      <alignment horizontal="center"/>
    </xf>
    <xf numFmtId="0" fontId="6" fillId="2" borderId="0" xfId="0" applyFont="1" applyFill="1" applyAlignment="1">
      <alignment vertical="center"/>
    </xf>
    <xf numFmtId="0" fontId="9" fillId="2" borderId="0" xfId="0" applyFont="1" applyFill="1" applyAlignment="1">
      <alignment vertical="center" wrapText="1"/>
    </xf>
    <xf numFmtId="0" fontId="10" fillId="2" borderId="0" xfId="0" applyFont="1" applyFill="1"/>
    <xf numFmtId="0" fontId="10" fillId="2" borderId="0" xfId="0" applyFont="1" applyFill="1" applyAlignment="1">
      <alignment vertical="center"/>
    </xf>
    <xf numFmtId="0" fontId="14" fillId="2" borderId="0" xfId="0" applyFont="1" applyFill="1" applyAlignment="1">
      <alignment horizontal="right" vertical="center"/>
    </xf>
    <xf numFmtId="0" fontId="16" fillId="2" borderId="0" xfId="0" applyFont="1" applyFill="1" applyAlignment="1">
      <alignment vertical="center" wrapText="1"/>
    </xf>
    <xf numFmtId="164" fontId="12" fillId="2" borderId="0" xfId="0" applyNumberFormat="1" applyFont="1" applyFill="1" applyAlignment="1">
      <alignment horizontal="center"/>
    </xf>
    <xf numFmtId="0" fontId="0" fillId="3" borderId="1" xfId="0" applyFill="1" applyBorder="1" applyAlignment="1">
      <alignment horizontal="center"/>
    </xf>
    <xf numFmtId="14" fontId="0" fillId="3" borderId="1" xfId="0" applyNumberFormat="1" applyFill="1" applyBorder="1" applyAlignment="1">
      <alignment horizontal="center"/>
    </xf>
    <xf numFmtId="0" fontId="17" fillId="7" borderId="0" xfId="0" applyFont="1" applyFill="1" applyAlignment="1">
      <alignment vertical="center"/>
    </xf>
    <xf numFmtId="0" fontId="0" fillId="2" borderId="0" xfId="0" applyFill="1" applyAlignment="1">
      <alignment vertical="center"/>
    </xf>
    <xf numFmtId="0" fontId="21" fillId="2" borderId="0" xfId="0" applyFont="1" applyFill="1" applyAlignment="1">
      <alignment vertical="center" wrapText="1"/>
    </xf>
    <xf numFmtId="0" fontId="20" fillId="2" borderId="0" xfId="0" applyFont="1" applyFill="1" applyAlignment="1">
      <alignment vertical="center"/>
    </xf>
    <xf numFmtId="0" fontId="20" fillId="2" borderId="0" xfId="0" applyFont="1" applyFill="1"/>
    <xf numFmtId="166" fontId="0" fillId="2" borderId="0" xfId="0" applyNumberFormat="1" applyFill="1" applyAlignment="1">
      <alignment vertical="center"/>
    </xf>
    <xf numFmtId="0" fontId="0" fillId="2" borderId="0" xfId="0" applyFill="1" applyAlignment="1">
      <alignment horizontal="center" vertical="center"/>
    </xf>
    <xf numFmtId="0" fontId="22" fillId="2" borderId="0" xfId="0" applyFont="1" applyFill="1" applyAlignment="1">
      <alignment vertical="center"/>
    </xf>
    <xf numFmtId="0" fontId="23" fillId="2" borderId="0" xfId="0" applyFont="1" applyFill="1"/>
    <xf numFmtId="166" fontId="0" fillId="2" borderId="2" xfId="0" applyNumberFormat="1" applyFill="1" applyBorder="1" applyAlignment="1">
      <alignment vertical="center"/>
    </xf>
    <xf numFmtId="165" fontId="0" fillId="2" borderId="0" xfId="0" applyNumberFormat="1" applyFill="1" applyAlignment="1">
      <alignment vertical="center" wrapText="1"/>
    </xf>
    <xf numFmtId="0" fontId="24" fillId="7" borderId="0" xfId="0" applyFont="1" applyFill="1" applyAlignment="1">
      <alignment vertical="center"/>
    </xf>
    <xf numFmtId="0" fontId="25" fillId="7" borderId="0" xfId="0" applyFont="1" applyFill="1" applyAlignment="1">
      <alignment vertical="center"/>
    </xf>
    <xf numFmtId="0" fontId="24" fillId="7" borderId="0" xfId="0" applyFont="1" applyFill="1" applyAlignment="1">
      <alignment horizontal="center" vertical="center" wrapText="1"/>
    </xf>
    <xf numFmtId="0" fontId="24" fillId="7" borderId="0" xfId="0" applyFont="1" applyFill="1" applyAlignment="1">
      <alignment horizontal="center" vertical="center"/>
    </xf>
    <xf numFmtId="166" fontId="27" fillId="8" borderId="0" xfId="0" applyNumberFormat="1" applyFont="1" applyFill="1" applyAlignment="1">
      <alignment horizontal="center" vertical="center"/>
    </xf>
    <xf numFmtId="0" fontId="27" fillId="7" borderId="0" xfId="0" applyFont="1" applyFill="1"/>
    <xf numFmtId="0" fontId="29" fillId="7" borderId="0" xfId="0" applyFont="1" applyFill="1"/>
    <xf numFmtId="0" fontId="29" fillId="7" borderId="0" xfId="0" applyFont="1" applyFill="1" applyAlignment="1">
      <alignment horizontal="center"/>
    </xf>
    <xf numFmtId="0" fontId="27" fillId="2" borderId="0" xfId="0" applyFont="1" applyFill="1"/>
    <xf numFmtId="0" fontId="15" fillId="8" borderId="0" xfId="0" applyFont="1" applyFill="1"/>
    <xf numFmtId="0" fontId="30" fillId="8" borderId="0" xfId="0" applyFont="1" applyFill="1" applyAlignment="1">
      <alignment horizontal="center" vertical="center"/>
    </xf>
    <xf numFmtId="0" fontId="27" fillId="8" borderId="0" xfId="0" applyFont="1" applyFill="1" applyAlignment="1">
      <alignment vertical="center"/>
    </xf>
    <xf numFmtId="0" fontId="31" fillId="8" borderId="0" xfId="0" applyFont="1" applyFill="1" applyAlignment="1">
      <alignment horizontal="center" vertical="center"/>
    </xf>
    <xf numFmtId="0" fontId="33" fillId="8" borderId="0" xfId="0" applyFont="1" applyFill="1" applyAlignment="1">
      <alignment vertical="center"/>
    </xf>
    <xf numFmtId="165" fontId="34" fillId="8" borderId="0" xfId="0" applyNumberFormat="1" applyFont="1" applyFill="1" applyAlignment="1">
      <alignment vertical="center" wrapText="1"/>
    </xf>
    <xf numFmtId="165" fontId="27" fillId="8" borderId="0" xfId="0" applyNumberFormat="1" applyFont="1" applyFill="1" applyAlignment="1">
      <alignment vertical="center" wrapText="1"/>
    </xf>
    <xf numFmtId="166" fontId="27" fillId="8" borderId="0" xfId="0" applyNumberFormat="1" applyFont="1" applyFill="1" applyAlignment="1">
      <alignment vertical="center"/>
    </xf>
    <xf numFmtId="0" fontId="35" fillId="7" borderId="0" xfId="0" applyFont="1" applyFill="1"/>
    <xf numFmtId="0" fontId="36" fillId="7" borderId="0" xfId="0" applyFont="1" applyFill="1"/>
    <xf numFmtId="0" fontId="37" fillId="7" borderId="0" xfId="0" applyFont="1" applyFill="1"/>
    <xf numFmtId="0" fontId="35" fillId="7" borderId="0" xfId="0" applyFont="1" applyFill="1" applyAlignment="1">
      <alignment vertical="center"/>
    </xf>
    <xf numFmtId="165" fontId="34" fillId="6" borderId="4" xfId="0" applyNumberFormat="1" applyFont="1" applyFill="1" applyBorder="1" applyAlignment="1">
      <alignment vertical="center" wrapText="1"/>
    </xf>
    <xf numFmtId="167" fontId="30" fillId="2" borderId="3" xfId="0" applyNumberFormat="1" applyFont="1" applyFill="1" applyBorder="1" applyAlignment="1">
      <alignment vertical="center"/>
    </xf>
    <xf numFmtId="167" fontId="30" fillId="6" borderId="3" xfId="0" applyNumberFormat="1" applyFont="1" applyFill="1" applyBorder="1" applyAlignment="1">
      <alignment vertical="center"/>
    </xf>
    <xf numFmtId="0" fontId="38" fillId="8" borderId="0" xfId="0" applyFont="1" applyFill="1" applyAlignment="1">
      <alignment horizontal="center" vertical="center"/>
    </xf>
    <xf numFmtId="166" fontId="32" fillId="2" borderId="0" xfId="0" applyNumberFormat="1" applyFont="1" applyFill="1" applyAlignment="1">
      <alignment horizontal="right" vertical="center"/>
    </xf>
    <xf numFmtId="17" fontId="0" fillId="2" borderId="0" xfId="0" applyNumberFormat="1" applyFill="1"/>
    <xf numFmtId="0" fontId="11" fillId="2" borderId="0" xfId="0" applyFont="1" applyFill="1" applyAlignment="1">
      <alignment vertical="center"/>
    </xf>
    <xf numFmtId="0" fontId="2" fillId="2" borderId="0" xfId="0" applyFont="1" applyFill="1" applyAlignment="1">
      <alignment horizontal="left" vertical="center" indent="1"/>
    </xf>
    <xf numFmtId="0" fontId="0" fillId="2" borderId="0" xfId="0" applyFill="1" applyAlignment="1">
      <alignment horizontal="left" vertical="center" indent="1"/>
    </xf>
    <xf numFmtId="0" fontId="41" fillId="2" borderId="0" xfId="0" applyFont="1" applyFill="1"/>
    <xf numFmtId="0" fontId="0" fillId="2" borderId="0" xfId="0" quotePrefix="1" applyFill="1"/>
    <xf numFmtId="0" fontId="1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42" fillId="2" borderId="0" xfId="0" applyFont="1" applyFill="1" applyAlignment="1">
      <alignment horizontal="center"/>
    </xf>
    <xf numFmtId="167" fontId="30" fillId="6" borderId="8" xfId="0" applyNumberFormat="1" applyFont="1" applyFill="1" applyBorder="1" applyAlignment="1">
      <alignment vertical="center"/>
    </xf>
    <xf numFmtId="165" fontId="34" fillId="6" borderId="9" xfId="0" applyNumberFormat="1" applyFont="1" applyFill="1" applyBorder="1" applyAlignment="1">
      <alignment vertical="center" wrapText="1"/>
    </xf>
    <xf numFmtId="0" fontId="36" fillId="7" borderId="0" xfId="0" applyFont="1" applyFill="1" applyAlignment="1">
      <alignment vertical="center" wrapText="1"/>
    </xf>
    <xf numFmtId="0" fontId="0" fillId="2" borderId="0" xfId="0" applyFill="1" applyAlignment="1">
      <alignment vertical="center" wrapText="1"/>
    </xf>
    <xf numFmtId="164" fontId="12" fillId="2" borderId="0" xfId="0" applyNumberFormat="1" applyFont="1" applyFill="1" applyAlignment="1">
      <alignment horizontal="center" vertical="center"/>
    </xf>
    <xf numFmtId="0" fontId="1" fillId="5" borderId="6" xfId="0" applyFont="1" applyFill="1" applyBorder="1" applyAlignment="1">
      <alignment horizontal="center" vertical="center" wrapText="1"/>
    </xf>
    <xf numFmtId="0" fontId="1" fillId="5" borderId="1" xfId="0" applyFont="1" applyFill="1" applyBorder="1" applyAlignment="1">
      <alignment horizontal="center" vertical="center"/>
    </xf>
    <xf numFmtId="0" fontId="0" fillId="3" borderId="6" xfId="0" applyFill="1" applyBorder="1" applyAlignment="1">
      <alignment vertical="center"/>
    </xf>
    <xf numFmtId="0" fontId="0" fillId="2" borderId="6" xfId="0" applyFill="1" applyBorder="1" applyAlignment="1">
      <alignment vertical="center" wrapText="1"/>
    </xf>
    <xf numFmtId="0" fontId="0" fillId="2" borderId="1" xfId="0" applyFill="1" applyBorder="1" applyAlignment="1">
      <alignment horizontal="center" vertical="center"/>
    </xf>
    <xf numFmtId="17" fontId="26" fillId="4" borderId="2" xfId="0" applyNumberFormat="1" applyFont="1" applyFill="1" applyBorder="1" applyAlignment="1">
      <alignment horizontal="center" vertical="center"/>
    </xf>
    <xf numFmtId="0" fontId="26" fillId="4" borderId="2" xfId="0" applyFont="1" applyFill="1" applyBorder="1" applyAlignment="1">
      <alignment horizontal="center" vertical="center"/>
    </xf>
    <xf numFmtId="0" fontId="5" fillId="2" borderId="0" xfId="0" applyFont="1" applyFill="1" applyAlignment="1">
      <alignment vertical="center"/>
    </xf>
    <xf numFmtId="0" fontId="0" fillId="2" borderId="1" xfId="0" applyFill="1" applyBorder="1" applyAlignment="1">
      <alignment vertical="center"/>
    </xf>
    <xf numFmtId="14" fontId="0" fillId="2" borderId="1" xfId="0" applyNumberFormat="1" applyFill="1" applyBorder="1" applyAlignment="1">
      <alignment horizontal="center" vertical="center"/>
    </xf>
    <xf numFmtId="0" fontId="44" fillId="3" borderId="6" xfId="0" applyFont="1" applyFill="1" applyBorder="1" applyAlignment="1">
      <alignment vertical="center"/>
    </xf>
    <xf numFmtId="0" fontId="44" fillId="2" borderId="6" xfId="0" applyFont="1" applyFill="1" applyBorder="1" applyAlignment="1">
      <alignment vertical="center" wrapText="1"/>
    </xf>
    <xf numFmtId="0" fontId="44" fillId="2" borderId="1" xfId="0" applyFont="1" applyFill="1" applyBorder="1" applyAlignment="1">
      <alignment horizontal="center" vertical="center"/>
    </xf>
    <xf numFmtId="14" fontId="44" fillId="2" borderId="1" xfId="0" applyNumberFormat="1" applyFont="1" applyFill="1" applyBorder="1" applyAlignment="1">
      <alignment horizontal="center" vertical="center"/>
    </xf>
    <xf numFmtId="0" fontId="44" fillId="2" borderId="1" xfId="0" applyFont="1" applyFill="1" applyBorder="1" applyAlignment="1">
      <alignment vertical="center"/>
    </xf>
    <xf numFmtId="0" fontId="44" fillId="2" borderId="0" xfId="0" applyFont="1" applyFill="1" applyAlignment="1">
      <alignment vertical="center"/>
    </xf>
    <xf numFmtId="0" fontId="28" fillId="2" borderId="0" xfId="0" applyFont="1" applyFill="1" applyAlignment="1">
      <alignment vertical="center" wrapText="1"/>
    </xf>
    <xf numFmtId="165" fontId="45" fillId="2" borderId="4" xfId="0" applyNumberFormat="1" applyFont="1" applyFill="1" applyBorder="1" applyAlignment="1">
      <alignment vertical="center" wrapText="1"/>
    </xf>
    <xf numFmtId="165" fontId="46" fillId="2" borderId="4" xfId="0" applyNumberFormat="1" applyFont="1" applyFill="1" applyBorder="1" applyAlignment="1">
      <alignment vertical="center" wrapText="1"/>
    </xf>
    <xf numFmtId="165" fontId="47" fillId="2" borderId="4" xfId="0" applyNumberFormat="1" applyFont="1" applyFill="1" applyBorder="1" applyAlignment="1">
      <alignment vertical="center" wrapText="1"/>
    </xf>
    <xf numFmtId="165" fontId="48" fillId="2" borderId="5" xfId="0" applyNumberFormat="1" applyFont="1" applyFill="1" applyBorder="1" applyAlignment="1">
      <alignment horizontal="center" vertical="center" wrapText="1"/>
    </xf>
    <xf numFmtId="0" fontId="50" fillId="7" borderId="0" xfId="0" applyFont="1" applyFill="1" applyAlignment="1">
      <alignment vertical="center"/>
    </xf>
    <xf numFmtId="0" fontId="49" fillId="7" borderId="0" xfId="0" applyFont="1" applyFill="1" applyAlignment="1">
      <alignment vertical="center"/>
    </xf>
    <xf numFmtId="0" fontId="51" fillId="7" borderId="0" xfId="2" applyFont="1" applyFill="1" applyAlignment="1">
      <alignment vertical="center"/>
    </xf>
    <xf numFmtId="0" fontId="50" fillId="7" borderId="0" xfId="0" applyFont="1" applyFill="1" applyAlignment="1">
      <alignment horizontal="left" vertical="center" wrapText="1"/>
    </xf>
    <xf numFmtId="0" fontId="10" fillId="2" borderId="0" xfId="0" applyFont="1" applyFill="1" applyAlignment="1">
      <alignment horizontal="left"/>
    </xf>
    <xf numFmtId="0" fontId="9" fillId="2" borderId="0" xfId="0" applyFont="1" applyFill="1" applyAlignment="1">
      <alignment horizontal="left" vertical="center" wrapText="1"/>
    </xf>
    <xf numFmtId="0" fontId="39" fillId="7" borderId="0" xfId="0" applyFont="1" applyFill="1" applyAlignment="1">
      <alignment horizontal="left" vertical="center"/>
    </xf>
    <xf numFmtId="0" fontId="28" fillId="2" borderId="0" xfId="0" applyFont="1" applyFill="1" applyAlignment="1">
      <alignment horizontal="left" vertical="center" wrapText="1"/>
    </xf>
    <xf numFmtId="0" fontId="2" fillId="3" borderId="7" xfId="0" applyFont="1" applyFill="1" applyBorder="1" applyAlignment="1">
      <alignment horizontal="center" vertical="center"/>
    </xf>
  </cellXfs>
  <cellStyles count="3">
    <cellStyle name="Hyperlink" xfId="2" builtinId="8"/>
    <cellStyle name="Normal" xfId="0" builtinId="0"/>
    <cellStyle name="Normal 2" xfId="1" xr:uid="{5FB46AAC-5977-48ED-902B-01F6FA2FF032}"/>
  </cellStyles>
  <dxfs count="44">
    <dxf>
      <fill>
        <patternFill>
          <bgColor theme="9" tint="0.79998168889431442"/>
        </patternFill>
      </fill>
    </dxf>
    <dxf>
      <font>
        <color theme="0" tint="-4.9989318521683403E-2"/>
      </font>
      <fill>
        <patternFill>
          <bgColor theme="0" tint="-4.9989318521683403E-2"/>
        </patternFill>
      </fill>
    </dxf>
    <dxf>
      <font>
        <color theme="0" tint="-0.24994659260841701"/>
      </font>
    </dxf>
    <dxf>
      <fill>
        <patternFill>
          <bgColor theme="0" tint="-4.9989318521683403E-2"/>
        </patternFill>
      </fill>
    </dxf>
    <dxf>
      <font>
        <color theme="0" tint="-0.24994659260841701"/>
      </font>
    </dxf>
    <dxf>
      <font>
        <color theme="0" tint="-0.24994659260841701"/>
      </font>
    </dxf>
    <dxf>
      <font>
        <b/>
        <i val="0"/>
        <color rgb="FF009C9C"/>
      </font>
    </dxf>
    <dxf>
      <font>
        <b/>
        <i val="0"/>
        <color rgb="FF009C9C"/>
      </font>
    </dxf>
    <dxf>
      <font>
        <b/>
        <i val="0"/>
        <color rgb="FF009C9C"/>
      </font>
    </dxf>
    <dxf>
      <font>
        <b/>
        <i val="0"/>
        <color rgb="FF009C9C"/>
      </font>
    </dxf>
    <dxf>
      <font>
        <b/>
        <i val="0"/>
        <color rgb="FF009C9C"/>
      </font>
    </dxf>
    <dxf>
      <fill>
        <patternFill>
          <fgColor indexed="64"/>
          <bgColor theme="0"/>
        </patternFill>
      </fill>
    </dxf>
    <dxf>
      <numFmt numFmtId="0" formatCode="General"/>
      <fill>
        <patternFill patternType="solid">
          <fgColor indexed="64"/>
          <bgColor theme="0"/>
        </patternFill>
      </fill>
      <alignment horizontal="center" vertical="bottom" textRotation="0" wrapText="0" indent="0" justifyLastLine="0" shrinkToFit="0" readingOrder="0"/>
    </dxf>
    <dxf>
      <fill>
        <patternFill>
          <fgColor indexed="64"/>
          <bgColor theme="0"/>
        </patternFill>
      </fill>
    </dxf>
    <dxf>
      <fill>
        <patternFill>
          <fgColor indexed="64"/>
          <bgColor theme="0"/>
        </patternFill>
      </fill>
    </dxf>
    <dxf>
      <numFmt numFmtId="19" formatCode="m/d/yyyy"/>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ont>
        <b/>
        <i val="0"/>
        <strike val="0"/>
        <condense val="0"/>
        <extend val="0"/>
        <outline val="0"/>
        <shadow val="0"/>
        <u val="none"/>
        <vertAlign val="baseline"/>
        <sz val="10"/>
        <color rgb="FF004F7D"/>
        <name val="Aptos"/>
        <family val="2"/>
        <scheme val="none"/>
      </font>
      <fill>
        <patternFill>
          <fgColor indexed="64"/>
          <bgColor theme="0"/>
        </patternFill>
      </fill>
    </dxf>
    <dxf>
      <fill>
        <patternFill patternType="solid">
          <fgColor indexed="64"/>
          <bgColor theme="0"/>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extLst>
        <ext xmlns:xfpb="http://schemas.microsoft.com/office/spreadsheetml/2022/featurepropertybag" uri="{0417FA29-78FA-4A13-93AC-8FF0FAFDF519}">
          <xfpb:DXFComplement i="0"/>
        </ext>
      </extLst>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extLst>
        <ext xmlns:xfpb="http://schemas.microsoft.com/office/spreadsheetml/2022/featurepropertybag" uri="{0417FA29-78FA-4A13-93AC-8FF0FAFDF519}">
          <xfpb:DXFComplement i="0"/>
        </ext>
      </extLst>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extLst>
        <ext xmlns:xfpb="http://schemas.microsoft.com/office/spreadsheetml/2022/featurepropertybag" uri="{0417FA29-78FA-4A13-93AC-8FF0FAFDF519}">
          <xfpb:DXFComplement i="0"/>
        </ext>
      </extLst>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extLst>
        <ext xmlns:xfpb="http://schemas.microsoft.com/office/spreadsheetml/2022/featurepropertybag" uri="{0417FA29-78FA-4A13-93AC-8FF0FAFDF519}">
          <xfpb:DXFComplement i="0"/>
        </ext>
      </extLst>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0" tint="-4.9989318521683403E-2"/>
        </patternFill>
      </fill>
      <alignment vertical="center" textRotation="0" indent="0" justifyLastLine="0" shrinkToFit="0" readingOrder="0"/>
      <border diagonalUp="0" diagonalDown="0" outline="0">
        <left/>
        <right/>
        <top style="thin">
          <color indexed="64"/>
        </top>
        <bottom style="thin">
          <color indexed="64"/>
        </bottom>
      </border>
    </dxf>
    <dxf>
      <border outline="0">
        <left style="thin">
          <color indexed="64"/>
        </left>
      </border>
    </dxf>
    <dxf>
      <fill>
        <patternFill patternType="solid">
          <fgColor indexed="64"/>
          <bgColor theme="0"/>
        </patternFill>
      </fill>
      <alignment vertical="center" textRotation="0" indent="0" justifyLastLine="0" shrinkToFit="0" readingOrder="0"/>
    </dxf>
    <dxf>
      <font>
        <b/>
        <i val="0"/>
        <strike val="0"/>
        <condense val="0"/>
        <extend val="0"/>
        <outline val="0"/>
        <shadow val="0"/>
        <u val="none"/>
        <vertAlign val="baseline"/>
        <sz val="10"/>
        <color theme="0"/>
        <name val="Aptos"/>
        <family val="2"/>
        <scheme val="none"/>
      </font>
      <fill>
        <patternFill patternType="solid">
          <fgColor indexed="64"/>
          <bgColor rgb="FF0070C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9C9C"/>
      <color rgb="FF004F7D"/>
      <color rgb="FFFF7A21"/>
      <color rgb="FF6B7C93"/>
      <color rgb="FF5A6D7C"/>
      <color rgb="FFE6E7E8"/>
      <color rgb="FF00C9C4"/>
      <color rgb="FFB0541B"/>
      <color rgb="FFD8DCE3"/>
      <color rgb="FF8E7C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285750</xdr:colOff>
      <xdr:row>1</xdr:row>
      <xdr:rowOff>230187</xdr:rowOff>
    </xdr:from>
    <xdr:to>
      <xdr:col>9</xdr:col>
      <xdr:colOff>31750</xdr:colOff>
      <xdr:row>4</xdr:row>
      <xdr:rowOff>23813</xdr:rowOff>
    </xdr:to>
    <xdr:sp macro="" textlink="">
      <xdr:nvSpPr>
        <xdr:cNvPr id="3" name="Rectangle: Rounded Corners 2">
          <a:extLst>
            <a:ext uri="{FF2B5EF4-FFF2-40B4-BE49-F238E27FC236}">
              <a16:creationId xmlns:a16="http://schemas.microsoft.com/office/drawing/2014/main" id="{3C180E8A-2CFF-18B3-BB12-53DFCE271EEB}"/>
            </a:ext>
          </a:extLst>
        </xdr:cNvPr>
        <xdr:cNvSpPr/>
      </xdr:nvSpPr>
      <xdr:spPr>
        <a:xfrm>
          <a:off x="8294688" y="412750"/>
          <a:ext cx="2635250" cy="88106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674685</xdr:colOff>
      <xdr:row>2</xdr:row>
      <xdr:rowOff>47626</xdr:rowOff>
    </xdr:from>
    <xdr:to>
      <xdr:col>8</xdr:col>
      <xdr:colOff>1682749</xdr:colOff>
      <xdr:row>3</xdr:row>
      <xdr:rowOff>150813</xdr:rowOff>
    </xdr:to>
    <xdr:sp macro="" textlink="">
      <xdr:nvSpPr>
        <xdr:cNvPr id="2" name="TextBox 1">
          <a:extLst>
            <a:ext uri="{FF2B5EF4-FFF2-40B4-BE49-F238E27FC236}">
              <a16:creationId xmlns:a16="http://schemas.microsoft.com/office/drawing/2014/main" id="{54AB8A0D-DBF0-6B2A-11F8-F71720AF9E38}"/>
            </a:ext>
          </a:extLst>
        </xdr:cNvPr>
        <xdr:cNvSpPr txBox="1"/>
      </xdr:nvSpPr>
      <xdr:spPr>
        <a:xfrm>
          <a:off x="10612435" y="468314"/>
          <a:ext cx="2801939" cy="746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rgbClr val="004F7D"/>
              </a:solidFill>
            </a:rPr>
            <a:t>Monthly</a:t>
          </a:r>
          <a:r>
            <a:rPr lang="en-US" sz="1400" b="0" baseline="0">
              <a:solidFill>
                <a:srgbClr val="004F7D"/>
              </a:solidFill>
            </a:rPr>
            <a:t> Recurring Task</a:t>
          </a:r>
          <a:endParaRPr lang="en-US" sz="1400" b="0" baseline="0"/>
        </a:p>
        <a:p>
          <a:r>
            <a:rPr lang="en-US" sz="1400" b="0" baseline="0">
              <a:solidFill>
                <a:srgbClr val="009C9C"/>
              </a:solidFill>
            </a:rPr>
            <a:t>Special / Ad Hoc / Audit Related</a:t>
          </a:r>
        </a:p>
        <a:p>
          <a:r>
            <a:rPr lang="en-US" sz="1400" b="0" baseline="0">
              <a:solidFill>
                <a:schemeClr val="bg1">
                  <a:lumMod val="50000"/>
                </a:schemeClr>
              </a:solidFill>
            </a:rPr>
            <a:t>Non working Holiday</a:t>
          </a:r>
        </a:p>
      </xdr:txBody>
    </xdr:sp>
    <xdr:clientData/>
  </xdr:twoCellAnchor>
  <xdr:twoCellAnchor editAs="oneCell">
    <xdr:from>
      <xdr:col>7</xdr:col>
      <xdr:colOff>545045</xdr:colOff>
      <xdr:row>2</xdr:row>
      <xdr:rowOff>166689</xdr:rowOff>
    </xdr:from>
    <xdr:to>
      <xdr:col>7</xdr:col>
      <xdr:colOff>658815</xdr:colOff>
      <xdr:row>2</xdr:row>
      <xdr:rowOff>280459</xdr:rowOff>
    </xdr:to>
    <xdr:pic>
      <xdr:nvPicPr>
        <xdr:cNvPr id="5" name="Graphic 4" descr="Stop with solid fill">
          <a:extLst>
            <a:ext uri="{FF2B5EF4-FFF2-40B4-BE49-F238E27FC236}">
              <a16:creationId xmlns:a16="http://schemas.microsoft.com/office/drawing/2014/main" id="{9F7C1F75-39AE-7C74-6F16-15FBA6C7A5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82795" y="587377"/>
          <a:ext cx="113770" cy="113770"/>
        </a:xfrm>
        <a:prstGeom prst="rect">
          <a:avLst/>
        </a:prstGeom>
        <a:effectLst/>
      </xdr:spPr>
    </xdr:pic>
    <xdr:clientData/>
  </xdr:twoCellAnchor>
  <xdr:twoCellAnchor editAs="oneCell">
    <xdr:from>
      <xdr:col>7</xdr:col>
      <xdr:colOff>547690</xdr:colOff>
      <xdr:row>2</xdr:row>
      <xdr:rowOff>372006</xdr:rowOff>
    </xdr:from>
    <xdr:to>
      <xdr:col>7</xdr:col>
      <xdr:colOff>661460</xdr:colOff>
      <xdr:row>2</xdr:row>
      <xdr:rowOff>485776</xdr:rowOff>
    </xdr:to>
    <xdr:pic>
      <xdr:nvPicPr>
        <xdr:cNvPr id="7" name="Graphic 6" descr="Stop with solid fill">
          <a:extLst>
            <a:ext uri="{FF2B5EF4-FFF2-40B4-BE49-F238E27FC236}">
              <a16:creationId xmlns:a16="http://schemas.microsoft.com/office/drawing/2014/main" id="{4CB0C001-7C77-4180-BC20-51805210A1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66390" y="791106"/>
          <a:ext cx="113770" cy="113770"/>
        </a:xfrm>
        <a:prstGeom prst="rect">
          <a:avLst/>
        </a:prstGeom>
        <a:effectLst/>
      </xdr:spPr>
    </xdr:pic>
    <xdr:clientData/>
  </xdr:twoCellAnchor>
  <xdr:twoCellAnchor editAs="oneCell">
    <xdr:from>
      <xdr:col>7</xdr:col>
      <xdr:colOff>543457</xdr:colOff>
      <xdr:row>2</xdr:row>
      <xdr:rowOff>577852</xdr:rowOff>
    </xdr:from>
    <xdr:to>
      <xdr:col>7</xdr:col>
      <xdr:colOff>657227</xdr:colOff>
      <xdr:row>3</xdr:row>
      <xdr:rowOff>51331</xdr:rowOff>
    </xdr:to>
    <xdr:pic>
      <xdr:nvPicPr>
        <xdr:cNvPr id="8" name="Graphic 7" descr="Stop with solid fill">
          <a:extLst>
            <a:ext uri="{FF2B5EF4-FFF2-40B4-BE49-F238E27FC236}">
              <a16:creationId xmlns:a16="http://schemas.microsoft.com/office/drawing/2014/main" id="{200AE382-EFC4-493C-BA99-B2CC41E495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62157" y="996952"/>
          <a:ext cx="113770" cy="114829"/>
        </a:xfrm>
        <a:prstGeom prst="rect">
          <a:avLst/>
        </a:prstGeom>
        <a:effec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76201</xdr:rowOff>
    </xdr:from>
    <xdr:to>
      <xdr:col>0</xdr:col>
      <xdr:colOff>1828800</xdr:colOff>
      <xdr:row>7</xdr:row>
      <xdr:rowOff>25401</xdr:rowOff>
    </xdr:to>
    <mc:AlternateContent xmlns:mc="http://schemas.openxmlformats.org/markup-compatibility/2006" xmlns:sle15="http://schemas.microsoft.com/office/drawing/2012/slicer">
      <mc:Choice Requires="sle15">
        <xdr:graphicFrame macro="">
          <xdr:nvGraphicFramePr>
            <xdr:cNvPr id="7" name="Year">
              <a:extLst>
                <a:ext uri="{FF2B5EF4-FFF2-40B4-BE49-F238E27FC236}">
                  <a16:creationId xmlns:a16="http://schemas.microsoft.com/office/drawing/2014/main" id="{9005F602-EA9B-852C-A3DA-06859B8FC7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7620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8</xdr:row>
      <xdr:rowOff>25400</xdr:rowOff>
    </xdr:from>
    <xdr:to>
      <xdr:col>0</xdr:col>
      <xdr:colOff>1841500</xdr:colOff>
      <xdr:row>22</xdr:row>
      <xdr:rowOff>142869</xdr:rowOff>
    </xdr:to>
    <mc:AlternateContent xmlns:mc="http://schemas.openxmlformats.org/markup-compatibility/2006" xmlns:sle15="http://schemas.microsoft.com/office/drawing/2012/slicer">
      <mc:Choice Requires="sle15">
        <xdr:graphicFrame macro="">
          <xdr:nvGraphicFramePr>
            <xdr:cNvPr id="8" name="Month">
              <a:extLst>
                <a:ext uri="{FF2B5EF4-FFF2-40B4-BE49-F238E27FC236}">
                  <a16:creationId xmlns:a16="http://schemas.microsoft.com/office/drawing/2014/main" id="{0766C34B-C423-5A73-FF8D-0E60A592BA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700" y="1346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XFControls"/>
  <bag type="XFComplement">
    <bagId k="XFControls">0</bagId>
  </bag>
  <bag type="DXFComplements" extRef="DXFComplementsMapperExtRef">
    <a k="MappedFeaturePropertyBags">
      <bagId>1</bagId>
    </a>
  </bag>
</FeaturePropertyBag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4F7134-4DCE-42CF-9A27-5BB7E957C85A}"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425DF8-FCD3-4191-9ED7-86D53AC9DE62}" sourceName="Month">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9513D8-D08E-4A94-933A-9562A2B8B035}" cache="Slicer_Year" caption="Year" style="SlicerStyleDark1" rowHeight="230716"/>
  <slicer name="Month" xr10:uid="{5FD73F67-07F6-4C43-9886-221C8E950A98}" cache="Slicer_Month" caption="Month" startItem="4"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0B75F1-ED90-433D-A4B4-2EF1A76D3D23}" name="Table3" displayName="Table3" ref="B5:U63" totalsRowShown="0" headerRowDxfId="43" dataDxfId="42" tableBorderDxfId="41">
  <autoFilter ref="B5:U63" xr:uid="{A30B75F1-ED90-433D-A4B4-2EF1A76D3D23}"/>
  <tableColumns count="20">
    <tableColumn id="1" xr3:uid="{1ECDB6E1-093C-45F7-B0CC-F1247200E530}" name="Commitments" dataDxfId="40"/>
    <tableColumn id="22" xr3:uid="{520771F3-32C2-4C66-A5D5-9ED138BC811A}" name="Detailed Task" dataDxfId="39"/>
    <tableColumn id="2" xr3:uid="{09AFCE70-D22C-463B-9BB6-96A339076B1E}" name="Start" dataDxfId="38"/>
    <tableColumn id="3" xr3:uid="{1FB41E20-A4D2-48BB-BC19-3BD205F251A3}" name="Deadline" dataDxfId="37"/>
    <tableColumn id="4" xr3:uid="{0946AF94-C985-425A-9E2A-2E0DB82DA617}" name="Ad Hoc Deadlines" dataDxfId="36"/>
    <tableColumn id="5" xr3:uid="{4C58E1A6-E954-4416-A72E-FA91DD1A1522}" name="Main Owner" dataDxfId="35"/>
    <tableColumn id="6" xr3:uid="{743736F0-65BA-46F4-A5C2-1468B42490C1}" name="Audience " dataDxfId="34"/>
    <tableColumn id="12" xr3:uid="{053B1D57-0239-4182-B068-00AF824F8E6B}" name="Team Member 1" dataDxfId="33"/>
    <tableColumn id="23" xr3:uid="{5C56558A-7B06-4A2F-B510-6B4B5C20F697}" name="Team Member 2" dataDxfId="32"/>
    <tableColumn id="24" xr3:uid="{584ED888-9304-4F20-B0D6-6FD83BAE6923}" name="Team Member 3" dataDxfId="31"/>
    <tableColumn id="27" xr3:uid="{C6F5E98C-AE42-4F13-8912-AB7F65E5C459}" name="Team Member 4" dataDxfId="30"/>
    <tableColumn id="25" xr3:uid="{FAE3547B-840B-46CA-BFDC-D367FDE2C152}" name="Team Member 5" dataDxfId="29"/>
    <tableColumn id="26" xr3:uid="{29C0DF94-2B71-41BC-85A9-6F172A513C1C}" name="Team Member 6" dataDxfId="28"/>
    <tableColumn id="13" xr3:uid="{6D040B8E-AA41-4481-9EF3-9B129635FAC8}" name="Team Member 7" dataDxfId="27"/>
    <tableColumn id="14" xr3:uid="{1A63AA22-80CE-4F46-B9EA-B5C7D1CFFC85}" name="Team Member 8" dataDxfId="26"/>
    <tableColumn id="16" xr3:uid="{3C2C83B4-71ED-433A-AE52-9C8DABD1C10E}" name="Team Member 9" dataDxfId="25"/>
    <tableColumn id="7" xr3:uid="{836C2A09-0549-4B06-9305-5CA6703B15AD}" name="Frecuency" dataDxfId="24"/>
    <tableColumn id="8" xr3:uid="{7B298D1C-4B8E-49AC-99EA-DAA93B2F1B8A}" name="Category / Workstream" dataDxfId="23"/>
    <tableColumn id="9" xr3:uid="{91D69A2E-A79B-4E2C-83FD-1B3770E2CDDC}" name="Priority" dataDxfId="22"/>
    <tableColumn id="10" xr3:uid="{0FB4E4F4-33A9-46A8-B461-46629B3B8C33}" name="Status"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420DD3-08DD-4AB9-9A15-2E0DF9C3E056}" name="Table1" displayName="Table1" ref="B1:I915" totalsRowShown="0" headerRowDxfId="20" dataDxfId="19">
  <autoFilter ref="B1:I915" xr:uid="{4AAD7668-5F3A-4318-A7FC-B94E755ADE71}"/>
  <tableColumns count="8">
    <tableColumn id="1" xr3:uid="{5A1CE253-CFF6-4A20-976F-91152D62778A}" name="Year" dataDxfId="18">
      <calculatedColumnFormula>YEAR(E2)</calculatedColumnFormula>
    </tableColumn>
    <tableColumn id="2" xr3:uid="{BF4BC2FD-183C-4099-ADCE-2C4286F68CCC}" name="Month" dataDxfId="17">
      <calculatedColumnFormula>TEXT(E2,"mmmm")</calculatedColumnFormula>
    </tableColumn>
    <tableColumn id="3" xr3:uid="{97A65230-E56A-4C27-B1B1-A64A632C1957}" name="Weekday" dataDxfId="16">
      <calculatedColumnFormula>TEXT(E2,"dddd")</calculatedColumnFormula>
    </tableColumn>
    <tableColumn id="4" xr3:uid="{5E339CBF-0DB0-4666-AF97-605D23FD479B}" name="Date" dataDxfId="15"/>
    <tableColumn id="5" xr3:uid="{44F1ADB9-71B2-4D44-BDD2-E5E529CBEAAA}" name="US Holiday" dataDxfId="14"/>
    <tableColumn id="6" xr3:uid="{17A22CFB-6DCE-4D4B-8F4D-E4E0447AFCAD}" name="India Holiday" dataDxfId="13"/>
    <tableColumn id="8" xr3:uid="{47B031A1-0562-489D-B46A-0975619C0BEE}" name="Holiday?" dataDxfId="12">
      <calculatedColumnFormula>IF(OR(Table1[[#This Row],[US Holiday]]&lt;&gt;"", Table1[[#This Row],[India Holiday]]&lt;&gt;""), "Yes", "No")</calculatedColumnFormula>
    </tableColumn>
    <tableColumn id="7" xr3:uid="{9B67122A-CEA8-42BE-A271-A4EF9503A1CA}" name="Finance day" dataDxfId="11">
      <calculatedColumnFormula>IF(
  AND(
    WORKDAY(E2-1,1)=E2,
    _xlfn.CONCAT(F2:G2)=""
  ),
  _xlfn.MAXIFS(I$1:I2,C$1:C2,C2,B$1:B2,B2)+1,
  ""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997B-40EC-40C4-B585-DDCA486545E4}">
  <sheetPr>
    <tabColor rgb="FF009C9C"/>
    <pageSetUpPr fitToPage="1"/>
  </sheetPr>
  <dimension ref="B1:Q47"/>
  <sheetViews>
    <sheetView tabSelected="1" zoomScale="70" zoomScaleNormal="70" workbookViewId="0">
      <pane xSplit="1" ySplit="9" topLeftCell="B10" activePane="bottomRight" state="frozen"/>
      <selection pane="topRight" activeCell="B1" sqref="B1"/>
      <selection pane="bottomLeft" activeCell="A7" sqref="A7"/>
      <selection pane="bottomRight" activeCell="E18" sqref="E18"/>
    </sheetView>
  </sheetViews>
  <sheetFormatPr defaultColWidth="8.7109375" defaultRowHeight="13.5" x14ac:dyDescent="0.25"/>
  <cols>
    <col min="1" max="1" width="11.28515625" style="2" customWidth="1"/>
    <col min="2" max="2" width="2.42578125" style="2" customWidth="1"/>
    <col min="3" max="9" width="25.7109375" style="2" customWidth="1"/>
    <col min="10" max="10" width="2.7109375" style="2" customWidth="1"/>
    <col min="11" max="11" width="6.7109375" style="2" bestFit="1" customWidth="1"/>
    <col min="12" max="12" width="12.140625" style="2" customWidth="1"/>
    <col min="13" max="13" width="2" style="2" bestFit="1" customWidth="1"/>
    <col min="14" max="14" width="28.28515625" style="2" bestFit="1" customWidth="1"/>
    <col min="15" max="16" width="6.7109375" style="2" bestFit="1" customWidth="1"/>
    <col min="17" max="17" width="8.28515625" style="2" bestFit="1" customWidth="1"/>
    <col min="18" max="21" width="7.42578125" style="2" bestFit="1" customWidth="1"/>
    <col min="22" max="22" width="8.28515625" style="2" bestFit="1" customWidth="1"/>
    <col min="23" max="26" width="7.42578125" style="2" bestFit="1" customWidth="1"/>
    <col min="27" max="27" width="8.28515625" style="2" bestFit="1" customWidth="1"/>
    <col min="28" max="31" width="7.42578125" style="2" bestFit="1" customWidth="1"/>
    <col min="32" max="32" width="8.28515625" style="2" bestFit="1" customWidth="1"/>
    <col min="33" max="33" width="7.42578125" style="2" bestFit="1" customWidth="1"/>
    <col min="34" max="16384" width="8.7109375" style="2"/>
  </cols>
  <sheetData>
    <row r="1" spans="2:17" ht="15" x14ac:dyDescent="0.25">
      <c r="B1" s="35"/>
      <c r="C1" s="35"/>
      <c r="D1" s="35"/>
      <c r="E1" s="35"/>
      <c r="F1" s="35"/>
      <c r="G1" s="35"/>
      <c r="H1" s="35"/>
      <c r="I1" s="35"/>
      <c r="J1" s="35"/>
    </row>
    <row r="2" spans="2:17" ht="18.75" x14ac:dyDescent="0.25">
      <c r="B2" s="36"/>
      <c r="C2" s="31"/>
      <c r="D2" s="30"/>
      <c r="E2" s="30"/>
      <c r="F2" s="47"/>
      <c r="G2" s="47"/>
      <c r="H2" s="47"/>
      <c r="I2" s="47"/>
      <c r="J2" s="47"/>
    </row>
    <row r="3" spans="2:17" ht="50.65" customHeight="1" x14ac:dyDescent="0.25">
      <c r="B3" s="36"/>
      <c r="C3" s="95" t="s">
        <v>142</v>
      </c>
      <c r="D3" s="95"/>
      <c r="E3" s="95"/>
      <c r="F3" s="95"/>
      <c r="G3" s="95"/>
      <c r="H3" s="68"/>
      <c r="I3" s="68"/>
      <c r="J3" s="68"/>
    </row>
    <row r="4" spans="2:17" ht="18.75" x14ac:dyDescent="0.25">
      <c r="B4" s="36"/>
      <c r="C4" s="92" t="s">
        <v>104</v>
      </c>
      <c r="D4" s="93"/>
      <c r="E4" s="94" t="s">
        <v>110</v>
      </c>
      <c r="F4" s="19"/>
      <c r="G4" s="48"/>
      <c r="H4" s="48"/>
      <c r="I4" s="48"/>
      <c r="J4" s="48"/>
    </row>
    <row r="5" spans="2:17" ht="15.75" x14ac:dyDescent="0.25">
      <c r="B5" s="36"/>
      <c r="C5" s="49"/>
      <c r="D5" s="50"/>
      <c r="E5" s="50"/>
      <c r="F5" s="50"/>
      <c r="G5" s="49"/>
      <c r="H5" s="49"/>
      <c r="I5" s="47"/>
      <c r="J5" s="47"/>
      <c r="K5" s="55" t="s">
        <v>73</v>
      </c>
      <c r="L5" s="99" t="s">
        <v>116</v>
      </c>
      <c r="M5" s="99"/>
      <c r="N5" s="99"/>
    </row>
    <row r="6" spans="2:17" ht="31.9" customHeight="1" x14ac:dyDescent="0.25">
      <c r="B6" s="37"/>
      <c r="C6" s="98" t="s">
        <v>133</v>
      </c>
      <c r="D6" s="98"/>
      <c r="E6" s="98"/>
      <c r="F6" s="98"/>
      <c r="G6" s="33" t="s">
        <v>82</v>
      </c>
      <c r="H6" s="33" t="s">
        <v>88</v>
      </c>
      <c r="I6" s="32" t="s">
        <v>96</v>
      </c>
      <c r="J6" s="32"/>
      <c r="K6" s="55" t="s">
        <v>73</v>
      </c>
      <c r="L6" s="99" t="s">
        <v>117</v>
      </c>
      <c r="M6" s="99"/>
      <c r="N6" s="99"/>
    </row>
    <row r="7" spans="2:17" ht="36.4" customHeight="1" x14ac:dyDescent="0.25">
      <c r="B7" s="37"/>
      <c r="C7" s="98"/>
      <c r="D7" s="98"/>
      <c r="E7" s="98"/>
      <c r="F7" s="98"/>
      <c r="G7" s="76" t="s">
        <v>72</v>
      </c>
      <c r="H7" s="77">
        <v>2025</v>
      </c>
      <c r="I7" s="77" t="s">
        <v>178</v>
      </c>
      <c r="J7" s="33"/>
      <c r="K7" s="55" t="s">
        <v>73</v>
      </c>
      <c r="L7" s="99" t="s">
        <v>118</v>
      </c>
      <c r="M7" s="99"/>
      <c r="N7" s="99"/>
    </row>
    <row r="8" spans="2:17" ht="13.15" customHeight="1" x14ac:dyDescent="0.25">
      <c r="B8" s="38"/>
      <c r="C8" s="38"/>
      <c r="D8" s="38"/>
      <c r="E8" s="38"/>
      <c r="F8" s="38"/>
      <c r="G8" s="38"/>
      <c r="H8" s="38"/>
      <c r="I8" s="38"/>
      <c r="J8" s="38"/>
      <c r="K8" s="55" t="s">
        <v>73</v>
      </c>
      <c r="L8" s="99" t="s">
        <v>141</v>
      </c>
      <c r="M8" s="99"/>
      <c r="N8" s="99"/>
    </row>
    <row r="9" spans="2:17" ht="16.899999999999999" customHeight="1" x14ac:dyDescent="0.25">
      <c r="B9" s="39"/>
      <c r="C9" s="54" t="s">
        <v>49</v>
      </c>
      <c r="D9" s="54" t="s">
        <v>50</v>
      </c>
      <c r="E9" s="54" t="s">
        <v>51</v>
      </c>
      <c r="F9" s="54" t="s">
        <v>52</v>
      </c>
      <c r="G9" s="54" t="s">
        <v>53</v>
      </c>
      <c r="H9" s="54" t="s">
        <v>54</v>
      </c>
      <c r="I9" s="54" t="s">
        <v>55</v>
      </c>
      <c r="J9" s="40"/>
      <c r="K9" s="87"/>
      <c r="L9" s="99"/>
      <c r="M9" s="99"/>
      <c r="N9" s="99"/>
    </row>
    <row r="10" spans="2:17" s="20" customFormat="1" ht="16.5" thickBot="1" x14ac:dyDescent="0.3">
      <c r="B10" s="41"/>
      <c r="C10" s="42" t="str">
        <f>_xlfn.IFNA(_xlfn.XLOOKUP(C11,'Date master'!$E:$E,'Date master'!$I:$I),"")</f>
        <v/>
      </c>
      <c r="D10" s="42" t="str">
        <f>_xlfn.IFNA(_xlfn.XLOOKUP(D11,'Date master'!$E:$E,'Date master'!$I:$I),"")</f>
        <v/>
      </c>
      <c r="E10" s="42">
        <f>_xlfn.IFNA(_xlfn.XLOOKUP(E11,'Date master'!$E:$E,'Date master'!$I:$I),"")</f>
        <v>1</v>
      </c>
      <c r="F10" s="42">
        <f>_xlfn.IFNA(_xlfn.XLOOKUP(F11,'Date master'!$E:$E,'Date master'!$I:$I),"")</f>
        <v>2</v>
      </c>
      <c r="G10" s="42">
        <f>_xlfn.IFNA(_xlfn.XLOOKUP(G11,'Date master'!$E:$E,'Date master'!$I:$I),"")</f>
        <v>3</v>
      </c>
      <c r="H10" s="42" t="str">
        <f>_xlfn.IFNA(_xlfn.XLOOKUP(H11,'Date master'!$E:$E,'Date master'!$I:$I),"")</f>
        <v/>
      </c>
      <c r="I10" s="42" t="str">
        <f>_xlfn.IFNA(_xlfn.XLOOKUP(I11,'Date master'!$E:$E,'Date master'!$I:$I),"")</f>
        <v/>
      </c>
      <c r="J10" s="42"/>
      <c r="K10" s="15"/>
      <c r="L10" s="15"/>
    </row>
    <row r="11" spans="2:17" s="20" customFormat="1" ht="16.5" thickTop="1" x14ac:dyDescent="0.25">
      <c r="B11" s="41"/>
      <c r="C11" s="53">
        <f>DATEVALUE(1&amp;$G$7&amp;$H$7)-WEEKDAY(DATEVALUE(1&amp;$G$7&amp;$H$7),2)</f>
        <v>45837</v>
      </c>
      <c r="D11" s="52">
        <f>C11+1</f>
        <v>45838</v>
      </c>
      <c r="E11" s="52">
        <f t="shared" ref="E11:I11" si="0">D11+1</f>
        <v>45839</v>
      </c>
      <c r="F11" s="52">
        <f t="shared" si="0"/>
        <v>45840</v>
      </c>
      <c r="G11" s="52">
        <f t="shared" si="0"/>
        <v>45841</v>
      </c>
      <c r="H11" s="52">
        <f t="shared" si="0"/>
        <v>45842</v>
      </c>
      <c r="I11" s="66">
        <f t="shared" si="0"/>
        <v>45843</v>
      </c>
      <c r="J11" s="34"/>
      <c r="K11" s="15"/>
      <c r="L11" s="15"/>
      <c r="M11" s="2"/>
      <c r="N11" s="2"/>
      <c r="O11" s="2"/>
      <c r="P11" s="2"/>
      <c r="Q11" s="2"/>
    </row>
    <row r="12" spans="2:17" s="22" customFormat="1" ht="49.9" customHeight="1" x14ac:dyDescent="0.25">
      <c r="B12" s="43"/>
      <c r="C12" s="51" t="str" cm="1">
        <f t="array" ref="C12">IFERROR(
  _xlfn.TEXTJOIN(CHAR(10), TRUE,
    _xlfn._xlws.FILTER(
      "- " &amp; 'Commitments &amp; Ownership Matrix'!$B$5:$B$30,
      (
        (
          ($I$7="Entire Team") * ('Commitments &amp; Ownership Matrix'!$D$5:$D$30=C10) +
          (('Commitments &amp; Ownership Matrix'!$F$5:$F$30=$I$7) * ('Commitments &amp; Ownership Matrix'!$D$5:$D$30=C10))
        )
        * ('Commitments &amp; Ownership Matrix'!$B$5:$B$30 &lt;&gt; "")
      )
    )
  ),
  ""
)</f>
        <v/>
      </c>
      <c r="D12" s="88" t="str" cm="1">
        <f t="array" ref="D12">IFERROR(
  _xlfn.TEXTJOIN(CHAR(10), TRUE,
    _xlfn._xlws.FILTER(
      "- " &amp; 'Commitments &amp; Ownership Matrix'!$B$5:$B$30,
      (
        (
          ($I$7="Entire Team") * ('Commitments &amp; Ownership Matrix'!$D$5:$D$30=D10) +
          (('Commitments &amp; Ownership Matrix'!$F$5:$F$30=$I$7) * ('Commitments &amp; Ownership Matrix'!$D$5:$D$30=D10))
        )
        * ('Commitments &amp; Ownership Matrix'!$B$5:$B$30 &lt;&gt; "")
      )
    )
  ),
  ""
)</f>
        <v/>
      </c>
      <c r="E12" s="88" t="str" cm="1">
        <f t="array" ref="E12">IFERROR(
  _xlfn.TEXTJOIN(CHAR(10), TRUE,
    _xlfn._xlws.FILTER(
      "- " &amp; 'Commitments &amp; Ownership Matrix'!$B$5:$B$30,
      (
        (
          ($I$7="Entire Team") * ('Commitments &amp; Ownership Matrix'!$D$5:$D$30=E10) +
          (('Commitments &amp; Ownership Matrix'!$F$5:$F$30=$I$7) * ('Commitments &amp; Ownership Matrix'!$D$5:$D$30=E10))
        )
        * ('Commitments &amp; Ownership Matrix'!$B$5:$B$30 &lt;&gt; "")
      )
    )
  ),
  ""
)</f>
        <v/>
      </c>
      <c r="F12" s="88" t="str" cm="1">
        <f t="array" ref="F12">IFERROR(
  _xlfn.TEXTJOIN(CHAR(10), TRUE,
    _xlfn._xlws.FILTER(
      "- " &amp; 'Commitments &amp; Ownership Matrix'!$B$5:$B$30,
      (
        (
          ($I$7="Entire Team") * ('Commitments &amp; Ownership Matrix'!$D$5:$D$30=F10) +
          (('Commitments &amp; Ownership Matrix'!$F$5:$F$30=$I$7) * ('Commitments &amp; Ownership Matrix'!$D$5:$D$30=F10))
        )
        * ('Commitments &amp; Ownership Matrix'!$B$5:$B$30 &lt;&gt; "")
      )
    )
  ),
  ""
)</f>
        <v/>
      </c>
      <c r="G12" s="88" t="str" cm="1">
        <f t="array" ref="G12">IFERROR(
  _xlfn.TEXTJOIN(CHAR(10), TRUE,
    _xlfn._xlws.FILTER(
      "- " &amp; 'Commitments &amp; Ownership Matrix'!$B$5:$B$30,
      (
        (
          ($I$7="Entire Team") * ('Commitments &amp; Ownership Matrix'!$D$5:$D$30=G10) +
          (('Commitments &amp; Ownership Matrix'!$F$5:$F$30=$I$7) * ('Commitments &amp; Ownership Matrix'!$D$5:$D$30=G10))
        )
        * ('Commitments &amp; Ownership Matrix'!$B$5:$B$30 &lt;&gt; "")
      )
    )
  ),
  ""
)</f>
        <v/>
      </c>
      <c r="H12" s="88" t="str" cm="1">
        <f t="array" ref="H12">IFERROR(
  _xlfn.TEXTJOIN(CHAR(10), TRUE,
    _xlfn._xlws.FILTER(
      "- " &amp; 'Commitments &amp; Ownership Matrix'!$B$5:$B$30,
      (
        (
          ($I$7="Entire Team") * ('Commitments &amp; Ownership Matrix'!$D$5:$D$30=H10) +
          (('Commitments &amp; Ownership Matrix'!$F$5:$F$30=$I$7) * ('Commitments &amp; Ownership Matrix'!$D$5:$D$30=H10))
        )
        * ('Commitments &amp; Ownership Matrix'!$B$5:$B$30 &lt;&gt; "")
      )
    )
  ),
  ""
)</f>
        <v/>
      </c>
      <c r="I12" s="67" t="str" cm="1">
        <f t="array" ref="I12">IFERROR(
  _xlfn.TEXTJOIN(CHAR(10), TRUE,
    _xlfn._xlws.FILTER(
      "- " &amp; 'Commitments &amp; Ownership Matrix'!$B$5:$B$30,
      (
        (
          ($I$7="Entire Team") * ('Commitments &amp; Ownership Matrix'!$D$5:$D$30=I10) +
          (('Commitments &amp; Ownership Matrix'!$F$5:$F$30=$I$7) * ('Commitments &amp; Ownership Matrix'!$D$5:$D$30=I10))
        )
        * ('Commitments &amp; Ownership Matrix'!$B$5:$B$30 &lt;&gt; "")
      )
    )
  ),
  ""
)</f>
        <v/>
      </c>
      <c r="J12" s="44"/>
      <c r="K12" s="21"/>
      <c r="L12" s="21"/>
      <c r="O12" s="23"/>
      <c r="P12" s="23"/>
      <c r="Q12" s="23"/>
    </row>
    <row r="13" spans="2:17" s="20" customFormat="1" ht="49.9" customHeight="1" x14ac:dyDescent="0.25">
      <c r="B13" s="43"/>
      <c r="C13" s="51" t="str" cm="1">
        <f t="array" ref="C13">IFERROR(
  _xlfn.TEXTJOIN(CHAR(10), TRUE,
    _xlfn._xlws.FILTER(
      "- " &amp; 'Commitments &amp; Ownership Matrix'!$B$5:$B$40,
      (
        (($I$7="Entire Team") * ('Commitments &amp; Ownership Matrix'!$E$5:$E$40=C11))
        +
        (('Commitments &amp; Ownership Matrix'!$F$5:$F$40=$I$7) * ('Commitments &amp; Ownership Matrix'!$E$5:$E$40=C11))
      )
      * ('Commitments &amp; Ownership Matrix'!$H$5:$H$40="Exceptional")
      * ('Commitments &amp; Ownership Matrix'!$B$5:$B$40&lt;&gt;"")
    )
  ),
  ""
)</f>
        <v/>
      </c>
      <c r="D13" s="89" t="str" cm="1">
        <f t="array" ref="D13">IFERROR(
  _xlfn.TEXTJOIN(CHAR(10), TRUE,
    _xlfn._xlws.FILTER(
      "- " &amp; 'Commitments &amp; Ownership Matrix'!$B$5:$B$40,
      (
        (($I$7="Entire Team") * ('Commitments &amp; Ownership Matrix'!$E$5:$E$40=D11))
        +
        (('Commitments &amp; Ownership Matrix'!$F$5:$F$40=$I$7) * ('Commitments &amp; Ownership Matrix'!$E$5:$E$40=D11))
      )
      * ('Commitments &amp; Ownership Matrix'!$H$5:$H$40="Exceptional")
      * ('Commitments &amp; Ownership Matrix'!$B$5:$B$40&lt;&gt;"")
    )
  ),
  ""
)</f>
        <v/>
      </c>
      <c r="E13" s="89" t="str" cm="1">
        <f t="array" ref="E13">IFERROR(
  _xlfn.TEXTJOIN(CHAR(10), TRUE,
    _xlfn._xlws.FILTER(
      "- " &amp; 'Commitments &amp; Ownership Matrix'!$B$5:$B$40,
      (
        (($I$7="Entire Team") * ('Commitments &amp; Ownership Matrix'!$E$5:$E$40=E11))
        +
        (('Commitments &amp; Ownership Matrix'!$F$5:$F$40=$I$7) * ('Commitments &amp; Ownership Matrix'!$E$5:$E$40=E11))
      )
      * ('Commitments &amp; Ownership Matrix'!$H$5:$H$40="Exceptional")
      * ('Commitments &amp; Ownership Matrix'!$B$5:$B$40&lt;&gt;"")
    )
  ),
  ""
)</f>
        <v/>
      </c>
      <c r="F13" s="90" t="str" cm="1">
        <f t="array" ref="F13">IFERROR(
  _xlfn.TEXTJOIN(CHAR(10), TRUE,
    _xlfn._xlws.FILTER(
      "- " &amp; 'Commitments &amp; Ownership Matrix'!$B$5:$B$40,
      (
        (($I$7="Entire Team") * ('Commitments &amp; Ownership Matrix'!$E$5:$E$40=F11))
        +
        (('Commitments &amp; Ownership Matrix'!$F$5:$F$40=$I$7) * ('Commitments &amp; Ownership Matrix'!$E$5:$E$40=F11))
      )
      * ('Commitments &amp; Ownership Matrix'!$H$5:$H$40="Exceptional")
      * ('Commitments &amp; Ownership Matrix'!$B$5:$B$40&lt;&gt;"")
    )
  ),
  ""
)</f>
        <v/>
      </c>
      <c r="G13" s="89" t="str" cm="1">
        <f t="array" ref="G13">IFERROR(
  _xlfn.TEXTJOIN(CHAR(10), TRUE,
    _xlfn._xlws.FILTER(
      "- " &amp; 'Commitments &amp; Ownership Matrix'!$B$5:$B$40,
      (
        (($I$7="Entire Team") * ('Commitments &amp; Ownership Matrix'!$E$5:$E$40=G11))
        +
        (('Commitments &amp; Ownership Matrix'!$F$5:$F$40=$I$7) * ('Commitments &amp; Ownership Matrix'!$E$5:$E$40=G11))
      )
      * ('Commitments &amp; Ownership Matrix'!$H$5:$H$40="Exceptional")
      * ('Commitments &amp; Ownership Matrix'!$B$5:$B$40&lt;&gt;"")
    )
  ),
  ""
)</f>
        <v/>
      </c>
      <c r="H13" s="89" t="str" cm="1">
        <f t="array" ref="H13">IFERROR(
  _xlfn.TEXTJOIN(CHAR(10), TRUE,
    _xlfn._xlws.FILTER(
      "- " &amp; 'Commitments &amp; Ownership Matrix'!$B$5:$B$40,
      (
        (($I$7="Entire Team") * ('Commitments &amp; Ownership Matrix'!$E$5:$E$40=H11))
        +
        (('Commitments &amp; Ownership Matrix'!$F$5:$F$40=$I$7) * ('Commitments &amp; Ownership Matrix'!$E$5:$E$40=H11))
      )
      * ('Commitments &amp; Ownership Matrix'!$H$5:$H$40="Exceptional")
      * ('Commitments &amp; Ownership Matrix'!$B$5:$B$40&lt;&gt;"")
    )
  ),
  ""
)</f>
        <v/>
      </c>
      <c r="I13" s="67" t="str" cm="1">
        <f t="array" ref="I13">IFERROR(
  _xlfn.TEXTJOIN(CHAR(10), TRUE,
    _xlfn._xlws.FILTER(
      "- " &amp; 'Commitments &amp; Ownership Matrix'!$B$5:$B$40,
      (
        (($I$7="Entire Team") * ('Commitments &amp; Ownership Matrix'!$E$5:$E$40=I11))
        +
        (('Commitments &amp; Ownership Matrix'!$F$5:$F$40=$I$7) * ('Commitments &amp; Ownership Matrix'!$E$5:$E$40=I11))
      )
      * ('Commitments &amp; Ownership Matrix'!$H$5:$H$40="Exceptional")
      * ('Commitments &amp; Ownership Matrix'!$B$5:$B$40&lt;&gt;"")
    )
  ),
  ""
)</f>
        <v/>
      </c>
      <c r="J13" s="45"/>
      <c r="K13" s="15"/>
      <c r="L13" s="15"/>
      <c r="O13" s="2"/>
      <c r="P13" s="2"/>
      <c r="Q13" s="2"/>
    </row>
    <row r="14" spans="2:17" s="20" customFormat="1" ht="49.9" customHeight="1" thickBot="1" x14ac:dyDescent="0.3">
      <c r="B14" s="43"/>
      <c r="C14" s="51"/>
      <c r="D14" s="91" t="str">
        <f>_xlfn.XLOOKUP(D11, 'Date master'!$E:$E,'Date master'!$F:$F, "") &amp; " " &amp; _xlfn.XLOOKUP(D11, 'Date master'!$E:$E, 'Date master'!$G:$G, "")</f>
        <v xml:space="preserve"> </v>
      </c>
      <c r="E14" s="91" t="str">
        <f>_xlfn.XLOOKUP(E11, 'Date master'!$E:$E,'Date master'!$F:$F, "") &amp; " " &amp; _xlfn.XLOOKUP(E11, 'Date master'!$E:$E, 'Date master'!$G:$G, "")</f>
        <v xml:space="preserve"> </v>
      </c>
      <c r="F14" s="91" t="str">
        <f>_xlfn.XLOOKUP(F11, 'Date master'!$E:$E,'Date master'!$F:$F, "") &amp; " " &amp; _xlfn.XLOOKUP(F11, 'Date master'!$E:$E, 'Date master'!$G:$G, "")</f>
        <v xml:space="preserve"> </v>
      </c>
      <c r="G14" s="91" t="str">
        <f>_xlfn.XLOOKUP(G11, 'Date master'!$E:$E,'Date master'!$F:$F, "") &amp; " " &amp; _xlfn.XLOOKUP(G11, 'Date master'!$E:$E, 'Date master'!$G:$G, "")</f>
        <v xml:space="preserve"> </v>
      </c>
      <c r="H14" s="91" t="str">
        <f>_xlfn.XLOOKUP(H11, 'Date master'!$E:$E,'Date master'!$F:$F, "") &amp; " " &amp; _xlfn.XLOOKUP(H11, 'Date master'!$E:$E, 'Date master'!$G:$G, "")</f>
        <v xml:space="preserve">US Independence Day </v>
      </c>
      <c r="I14" s="67"/>
      <c r="J14" s="45"/>
      <c r="K14" s="15"/>
      <c r="L14" s="15"/>
      <c r="O14" s="2"/>
      <c r="P14" s="2"/>
      <c r="Q14" s="2"/>
    </row>
    <row r="15" spans="2:17" s="20" customFormat="1" ht="17.25" thickTop="1" thickBot="1" x14ac:dyDescent="0.3">
      <c r="B15" s="41"/>
      <c r="C15" s="42" t="str">
        <f>_xlfn.IFNA(_xlfn.XLOOKUP(C16,'Date master'!$E:$E,'Date master'!$I:$I),"")</f>
        <v/>
      </c>
      <c r="D15" s="42">
        <f>_xlfn.IFNA(_xlfn.XLOOKUP(D16,'Date master'!$E:$E,'Date master'!$I:$I),"")</f>
        <v>4</v>
      </c>
      <c r="E15" s="42">
        <f>_xlfn.IFNA(_xlfn.XLOOKUP(E16,'Date master'!$E:$E,'Date master'!$I:$I),"")</f>
        <v>5</v>
      </c>
      <c r="F15" s="42">
        <f>_xlfn.IFNA(_xlfn.XLOOKUP(F16,'Date master'!$E:$E,'Date master'!$I:$I),"")</f>
        <v>6</v>
      </c>
      <c r="G15" s="42">
        <f>_xlfn.IFNA(_xlfn.XLOOKUP(G16,'Date master'!$E:$E,'Date master'!$I:$I),"")</f>
        <v>7</v>
      </c>
      <c r="H15" s="42">
        <f>_xlfn.IFNA(_xlfn.XLOOKUP(H16,'Date master'!$E:$E,'Date master'!$I:$I),"")</f>
        <v>8</v>
      </c>
      <c r="I15" s="42" t="str">
        <f>_xlfn.IFNA(_xlfn.XLOOKUP(I16,'Date master'!$E:$E,'Date master'!$I:$I),"")</f>
        <v/>
      </c>
      <c r="J15" s="42"/>
      <c r="K15" s="14"/>
      <c r="L15" s="13"/>
      <c r="O15" s="11"/>
      <c r="P15" s="11"/>
      <c r="Q15" s="11"/>
    </row>
    <row r="16" spans="2:17" s="20" customFormat="1" ht="16.5" thickTop="1" x14ac:dyDescent="0.25">
      <c r="B16" s="41"/>
      <c r="C16" s="53">
        <f t="shared" ref="C16:I16" si="1">C11+7</f>
        <v>45844</v>
      </c>
      <c r="D16" s="52">
        <f t="shared" si="1"/>
        <v>45845</v>
      </c>
      <c r="E16" s="52">
        <f t="shared" si="1"/>
        <v>45846</v>
      </c>
      <c r="F16" s="52">
        <f t="shared" si="1"/>
        <v>45847</v>
      </c>
      <c r="G16" s="52">
        <f t="shared" si="1"/>
        <v>45848</v>
      </c>
      <c r="H16" s="52">
        <f t="shared" si="1"/>
        <v>45849</v>
      </c>
      <c r="I16" s="66">
        <f t="shared" si="1"/>
        <v>45850</v>
      </c>
      <c r="J16" s="46"/>
      <c r="K16" s="14"/>
      <c r="L16" s="13"/>
      <c r="O16" s="11"/>
      <c r="P16" s="11"/>
      <c r="Q16" s="11"/>
    </row>
    <row r="17" spans="2:17" s="22" customFormat="1" ht="18.75" x14ac:dyDescent="0.25">
      <c r="B17" s="43"/>
      <c r="C17" s="51" t="str" cm="1">
        <f t="array" ref="C17">IFERROR(
  _xlfn.TEXTJOIN(CHAR(10), TRUE,
    _xlfn._xlws.FILTER(
      "- " &amp; 'Commitments &amp; Ownership Matrix'!$B$5:$B$30,
      (
        (
          ($I$7="Entire Team") * ('Commitments &amp; Ownership Matrix'!$D$5:$D$30=C15) +
          (('Commitments &amp; Ownership Matrix'!$F$5:$F$30=$I$7) * ('Commitments &amp; Ownership Matrix'!$D$5:$D$30=C15))
        )
        * ('Commitments &amp; Ownership Matrix'!$B$5:$B$30 &lt;&gt; "")
      )
    )
  ),
  ""
)</f>
        <v/>
      </c>
      <c r="D17" s="88" t="str" cm="1">
        <f t="array" ref="D17">IFERROR(
  _xlfn.TEXTJOIN(CHAR(10), TRUE,
    _xlfn._xlws.FILTER(
      "- " &amp; 'Commitments &amp; Ownership Matrix'!$B$5:$B$30,
      (
        (
          ($I$7="Entire Team") * ('Commitments &amp; Ownership Matrix'!$D$5:$D$30=D15) +
          (('Commitments &amp; Ownership Matrix'!$F$5:$F$30=$I$7) * ('Commitments &amp; Ownership Matrix'!$D$5:$D$30=D15))
        )
        * ('Commitments &amp; Ownership Matrix'!$B$5:$B$30 &lt;&gt; "")
      )
    )
  ),
  ""
)</f>
        <v/>
      </c>
      <c r="E17" s="88" t="str" cm="1">
        <f t="array" ref="E17">IFERROR(
  _xlfn.TEXTJOIN(CHAR(10), TRUE,
    _xlfn._xlws.FILTER(
      "- " &amp; 'Commitments &amp; Ownership Matrix'!$B$5:$B$30,
      (
        (
          ($I$7="Entire Team") * ('Commitments &amp; Ownership Matrix'!$D$5:$D$30=E15) +
          (('Commitments &amp; Ownership Matrix'!$F$5:$F$30=$I$7) * ('Commitments &amp; Ownership Matrix'!$D$5:$D$30=E15))
        )
        * ('Commitments &amp; Ownership Matrix'!$B$5:$B$30 &lt;&gt; "")
      )
    )
  ),
  ""
)</f>
        <v>- Accrued Expenses</v>
      </c>
      <c r="F17" s="88" t="str" cm="1">
        <f t="array" ref="F17">IFERROR(
  _xlfn.TEXTJOIN(CHAR(10), TRUE,
    _xlfn._xlws.FILTER(
      "- " &amp; 'Commitments &amp; Ownership Matrix'!$B$5:$B$30,
      (
        (
          ($I$7="Entire Team") * ('Commitments &amp; Ownership Matrix'!$D$5:$D$30=F15) +
          (('Commitments &amp; Ownership Matrix'!$F$5:$F$30=$I$7) * ('Commitments &amp; Ownership Matrix'!$D$5:$D$30=F15))
        )
        * ('Commitments &amp; Ownership Matrix'!$B$5:$B$30 &lt;&gt; "")
      )
    )
  ),
  ""
)</f>
        <v>- Banking</v>
      </c>
      <c r="G17" s="88" t="str" cm="1">
        <f t="array" ref="G17">IFERROR(
  _xlfn.TEXTJOIN(CHAR(10), TRUE,
    _xlfn._xlws.FILTER(
      "- " &amp; 'Commitments &amp; Ownership Matrix'!$B$5:$B$30,
      (
        (
          ($I$7="Entire Team") * ('Commitments &amp; Ownership Matrix'!$D$5:$D$30=G15) +
          (('Commitments &amp; Ownership Matrix'!$F$5:$F$30=$I$7) * ('Commitments &amp; Ownership Matrix'!$D$5:$D$30=G15))
        )
        * ('Commitments &amp; Ownership Matrix'!$B$5:$B$30 &lt;&gt; "")
      )
    )
  ),
  ""
)</f>
        <v/>
      </c>
      <c r="H17" s="88" t="str" cm="1">
        <f t="array" ref="H17">IFERROR(
  _xlfn.TEXTJOIN(CHAR(10), TRUE,
    _xlfn._xlws.FILTER(
      "- " &amp; 'Commitments &amp; Ownership Matrix'!$B$5:$B$30,
      (
        (
          ($I$7="Entire Team") * ('Commitments &amp; Ownership Matrix'!$D$5:$D$30=H15) +
          (('Commitments &amp; Ownership Matrix'!$F$5:$F$30=$I$7) * ('Commitments &amp; Ownership Matrix'!$D$5:$D$30=H15))
        )
        * ('Commitments &amp; Ownership Matrix'!$B$5:$B$30 &lt;&gt; "")
      )
    )
  ),
  ""
)</f>
        <v/>
      </c>
      <c r="I17" s="67" t="str" cm="1">
        <f t="array" ref="I17">IFERROR(
  _xlfn.TEXTJOIN(CHAR(10), TRUE,
    _xlfn._xlws.FILTER(
      "- " &amp; 'Commitments &amp; Ownership Matrix'!$B$5:$B$30,
      (
        (
          ($I$7="Entire Team") * ('Commitments &amp; Ownership Matrix'!$D$5:$D$30=I15) +
          (('Commitments &amp; Ownership Matrix'!$F$5:$F$30=$I$7) * ('Commitments &amp; Ownership Matrix'!$D$5:$D$30=I15))
        )
        * ('Commitments &amp; Ownership Matrix'!$B$5:$B$30 &lt;&gt; "")
      )
    )
  ),
  ""
)</f>
        <v/>
      </c>
      <c r="J17" s="44"/>
      <c r="K17" s="21"/>
      <c r="L17" s="21"/>
      <c r="O17" s="23"/>
      <c r="P17" s="23"/>
      <c r="Q17" s="23"/>
    </row>
    <row r="18" spans="2:17" s="20" customFormat="1" ht="49.9" customHeight="1" x14ac:dyDescent="0.25">
      <c r="B18" s="43"/>
      <c r="C18" s="51" t="str" cm="1">
        <f t="array" ref="C18">IFERROR(
  _xlfn.TEXTJOIN(CHAR(10), TRUE,
    _xlfn._xlws.FILTER(
      "- " &amp; 'Commitments &amp; Ownership Matrix'!$B$5:$B$40,
      (
        (($I$7="Entire Team") * ('Commitments &amp; Ownership Matrix'!$E$5:$E$40=C16))
        +
        (('Commitments &amp; Ownership Matrix'!$F$5:$F$40=$I$7) * ('Commitments &amp; Ownership Matrix'!$E$5:$E$40=C16))
      )
      * ('Commitments &amp; Ownership Matrix'!$H$5:$H$40="Exceptional")
      * ('Commitments &amp; Ownership Matrix'!$B$5:$B$40&lt;&gt;"")
    )
  ),
  ""
)</f>
        <v/>
      </c>
      <c r="D18" s="89" t="str" cm="1">
        <f t="array" ref="D18">IFERROR(
  _xlfn.TEXTJOIN(CHAR(10), TRUE,
    _xlfn._xlws.FILTER(
      "- " &amp; 'Commitments &amp; Ownership Matrix'!$B$5:$B$40,
      (
        (($I$7="Entire Team") * ('Commitments &amp; Ownership Matrix'!$E$5:$E$40=D16))
        +
        (('Commitments &amp; Ownership Matrix'!$F$5:$F$40=$I$7) * ('Commitments &amp; Ownership Matrix'!$E$5:$E$40=D16))
      )
      * ('Commitments &amp; Ownership Matrix'!$H$5:$H$40="Exceptional")
      * ('Commitments &amp; Ownership Matrix'!$B$5:$B$40&lt;&gt;"")
    )
  ),
  ""
)</f>
        <v/>
      </c>
      <c r="E18" s="89" t="str" cm="1">
        <f t="array" ref="E18">IFERROR(
  _xlfn.TEXTJOIN(CHAR(10), TRUE,
    _xlfn._xlws.FILTER(
      "- " &amp; 'Commitments &amp; Ownership Matrix'!$B$5:$B$40,
      (
        (($I$7="Entire Team") * ('Commitments &amp; Ownership Matrix'!$E$5:$E$40=E16))
        +
        (('Commitments &amp; Ownership Matrix'!$F$5:$F$40=$I$7) * ('Commitments &amp; Ownership Matrix'!$E$5:$E$40=E16))
      )
      * ('Commitments &amp; Ownership Matrix'!$H$5:$H$40="Exceptional")
      * ('Commitments &amp; Ownership Matrix'!$B$5:$B$40&lt;&gt;"")
    )
  ),
  ""
)</f>
        <v/>
      </c>
      <c r="F18" s="90" t="str" cm="1">
        <f t="array" ref="F18">IFERROR(
  _xlfn.TEXTJOIN(CHAR(10), TRUE,
    _xlfn._xlws.FILTER(
      "- " &amp; 'Commitments &amp; Ownership Matrix'!$B$5:$B$40,
      (
        (($I$7="Entire Team") * ('Commitments &amp; Ownership Matrix'!$E$5:$E$40=F16))
        +
        (('Commitments &amp; Ownership Matrix'!$F$5:$F$40=$I$7) * ('Commitments &amp; Ownership Matrix'!$E$5:$E$40=F16))
      )
      * ('Commitments &amp; Ownership Matrix'!$H$5:$H$40="Exceptional")
      * ('Commitments &amp; Ownership Matrix'!$B$5:$B$40&lt;&gt;"")
    )
  ),
  ""
)</f>
        <v/>
      </c>
      <c r="G18" s="89" t="str" cm="1">
        <f t="array" ref="G18">IFERROR(
  _xlfn.TEXTJOIN(CHAR(10), TRUE,
    _xlfn._xlws.FILTER(
      "- " &amp; 'Commitments &amp; Ownership Matrix'!$B$5:$B$40,
      (
        (($I$7="Entire Team") * ('Commitments &amp; Ownership Matrix'!$E$5:$E$40=G16))
        +
        (('Commitments &amp; Ownership Matrix'!$F$5:$F$40=$I$7) * ('Commitments &amp; Ownership Matrix'!$E$5:$E$40=G16))
      )
      * ('Commitments &amp; Ownership Matrix'!$H$5:$H$40="Exceptional")
      * ('Commitments &amp; Ownership Matrix'!$B$5:$B$40&lt;&gt;"")
    )
  ),
  ""
)</f>
        <v/>
      </c>
      <c r="H18" s="89" t="str" cm="1">
        <f t="array" ref="H18">IFERROR(
  _xlfn.TEXTJOIN(CHAR(10), TRUE,
    _xlfn._xlws.FILTER(
      "- " &amp; 'Commitments &amp; Ownership Matrix'!$B$5:$B$40,
      (
        (($I$7="Entire Team") * ('Commitments &amp; Ownership Matrix'!$E$5:$E$40=H16))
        +
        (('Commitments &amp; Ownership Matrix'!$F$5:$F$40=$I$7) * ('Commitments &amp; Ownership Matrix'!$E$5:$E$40=H16))
      )
      * ('Commitments &amp; Ownership Matrix'!$H$5:$H$40="Exceptional")
      * ('Commitments &amp; Ownership Matrix'!$B$5:$B$40&lt;&gt;"")
    )
  ),
  ""
)</f>
        <v/>
      </c>
      <c r="I18" s="67" t="str" cm="1">
        <f t="array" ref="I18">IFERROR(
  _xlfn.TEXTJOIN(CHAR(10), TRUE,
    _xlfn._xlws.FILTER(
      "- " &amp; 'Commitments &amp; Ownership Matrix'!$B$5:$B$40,
      (
        (($I$7="Entire Team") * ('Commitments &amp; Ownership Matrix'!$E$5:$E$40=I16))
        +
        (('Commitments &amp; Ownership Matrix'!$F$5:$F$40=$I$7) * ('Commitments &amp; Ownership Matrix'!$E$5:$E$40=I16))
      )
      * ('Commitments &amp; Ownership Matrix'!$H$5:$H$40="Exceptional")
      * ('Commitments &amp; Ownership Matrix'!$B$5:$B$40&lt;&gt;"")
    )
  ),
  ""
)</f>
        <v/>
      </c>
      <c r="J18" s="45"/>
      <c r="K18" s="15"/>
      <c r="L18" s="15"/>
      <c r="O18" s="2"/>
      <c r="P18" s="2"/>
      <c r="Q18" s="2"/>
    </row>
    <row r="19" spans="2:17" s="20" customFormat="1" ht="49.9" customHeight="1" thickBot="1" x14ac:dyDescent="0.3">
      <c r="B19" s="43"/>
      <c r="C19" s="51"/>
      <c r="D19" s="91" t="str">
        <f>_xlfn.XLOOKUP(D16, 'Date master'!$E:$E,'Date master'!$F:$F, "") &amp; " " &amp; _xlfn.XLOOKUP(D16, 'Date master'!$E:$E, 'Date master'!$G:$G, "")</f>
        <v xml:space="preserve"> </v>
      </c>
      <c r="E19" s="91" t="str">
        <f>_xlfn.XLOOKUP(E16, 'Date master'!$E:$E,'Date master'!$F:$F, "") &amp; " " &amp; _xlfn.XLOOKUP(E16, 'Date master'!$E:$E, 'Date master'!$G:$G, "")</f>
        <v xml:space="preserve"> </v>
      </c>
      <c r="F19" s="91" t="str">
        <f>_xlfn.XLOOKUP(F16, 'Date master'!$E:$E,'Date master'!$F:$F, "") &amp; " " &amp; _xlfn.XLOOKUP(F16, 'Date master'!$E:$E, 'Date master'!$G:$G, "")</f>
        <v xml:space="preserve"> </v>
      </c>
      <c r="G19" s="91" t="str">
        <f>_xlfn.XLOOKUP(G16, 'Date master'!$E:$E,'Date master'!$F:$F, "") &amp; " " &amp; _xlfn.XLOOKUP(G16, 'Date master'!$E:$E, 'Date master'!$G:$G, "")</f>
        <v xml:space="preserve"> </v>
      </c>
      <c r="H19" s="91" t="str">
        <f>_xlfn.XLOOKUP(H16, 'Date master'!$E:$E,'Date master'!$F:$F, "") &amp; " " &amp; _xlfn.XLOOKUP(H16, 'Date master'!$E:$E, 'Date master'!$G:$G, "")</f>
        <v xml:space="preserve"> </v>
      </c>
      <c r="I19" s="67"/>
      <c r="J19" s="45"/>
      <c r="K19" s="15"/>
      <c r="L19" s="15"/>
      <c r="O19" s="2"/>
      <c r="P19" s="2"/>
      <c r="Q19" s="2"/>
    </row>
    <row r="20" spans="2:17" s="20" customFormat="1" ht="16.5" thickTop="1" thickBot="1" x14ac:dyDescent="0.3">
      <c r="B20" s="41"/>
      <c r="C20" s="42" t="str">
        <f>_xlfn.IFNA(_xlfn.XLOOKUP(C21,'Date master'!$E:$E,'Date master'!$I:$I),"")</f>
        <v/>
      </c>
      <c r="D20" s="42">
        <f>_xlfn.IFNA(_xlfn.XLOOKUP(D21,'Date master'!$E:$E,'Date master'!$I:$I),"")</f>
        <v>9</v>
      </c>
      <c r="E20" s="42">
        <f>_xlfn.IFNA(_xlfn.XLOOKUP(E21,'Date master'!$E:$E,'Date master'!$I:$I),"")</f>
        <v>10</v>
      </c>
      <c r="F20" s="42">
        <f>_xlfn.IFNA(_xlfn.XLOOKUP(F21,'Date master'!$E:$E,'Date master'!$I:$I),"")</f>
        <v>11</v>
      </c>
      <c r="G20" s="42">
        <f>_xlfn.IFNA(_xlfn.XLOOKUP(G21,'Date master'!$E:$E,'Date master'!$I:$I),"")</f>
        <v>12</v>
      </c>
      <c r="H20" s="42">
        <f>_xlfn.IFNA(_xlfn.XLOOKUP(H21,'Date master'!$E:$E,'Date master'!$I:$I),"")</f>
        <v>13</v>
      </c>
      <c r="I20" s="42" t="str">
        <f>_xlfn.IFNA(_xlfn.XLOOKUP(I21,'Date master'!$E:$E,'Date master'!$I:$I),"")</f>
        <v/>
      </c>
      <c r="J20" s="42"/>
      <c r="K20" s="10"/>
      <c r="O20" s="11"/>
      <c r="P20" s="11"/>
      <c r="Q20" s="11"/>
    </row>
    <row r="21" spans="2:17" s="20" customFormat="1" ht="15.75" thickTop="1" x14ac:dyDescent="0.25">
      <c r="B21" s="41"/>
      <c r="C21" s="53">
        <f t="shared" ref="C21:I21" si="2">C16+7</f>
        <v>45851</v>
      </c>
      <c r="D21" s="52">
        <f t="shared" si="2"/>
        <v>45852</v>
      </c>
      <c r="E21" s="52">
        <f t="shared" si="2"/>
        <v>45853</v>
      </c>
      <c r="F21" s="52">
        <f t="shared" si="2"/>
        <v>45854</v>
      </c>
      <c r="G21" s="52">
        <f t="shared" si="2"/>
        <v>45855</v>
      </c>
      <c r="H21" s="52">
        <f t="shared" si="2"/>
        <v>45856</v>
      </c>
      <c r="I21" s="66">
        <f t="shared" si="2"/>
        <v>45857</v>
      </c>
      <c r="J21" s="46"/>
      <c r="O21" s="2"/>
      <c r="P21" s="2"/>
    </row>
    <row r="22" spans="2:17" s="22" customFormat="1" ht="49.9" customHeight="1" x14ac:dyDescent="0.25">
      <c r="B22" s="43"/>
      <c r="C22" s="51" t="str" cm="1">
        <f t="array" ref="C22">IFERROR(
  _xlfn.TEXTJOIN(CHAR(10), TRUE,
    _xlfn._xlws.FILTER(
      "- " &amp; 'Commitments &amp; Ownership Matrix'!$B$5:$B$30,
      (
        (
          ($I$7="Entire Team") * ('Commitments &amp; Ownership Matrix'!$D$5:$D$30=C20) +
          (('Commitments &amp; Ownership Matrix'!$F$5:$F$30=$I$7) * ('Commitments &amp; Ownership Matrix'!$D$5:$D$30=C20))
        )
        * ('Commitments &amp; Ownership Matrix'!$B$5:$B$30 &lt;&gt; "")
      )
    )
  ),
  ""
)</f>
        <v/>
      </c>
      <c r="D22" s="88" t="str" cm="1">
        <f t="array" ref="D22">IFERROR(
  _xlfn.TEXTJOIN(CHAR(10), TRUE,
    _xlfn._xlws.FILTER(
      "- " &amp; 'Commitments &amp; Ownership Matrix'!$B$5:$B$30,
      (
        (
          ($I$7="Entire Team") * ('Commitments &amp; Ownership Matrix'!$D$5:$D$30=D20) +
          (('Commitments &amp; Ownership Matrix'!$F$5:$F$30=$I$7) * ('Commitments &amp; Ownership Matrix'!$D$5:$D$30=D20))
        )
        * ('Commitments &amp; Ownership Matrix'!$B$5:$B$30 &lt;&gt; "")
      )
    )
  ),
  ""
)</f>
        <v/>
      </c>
      <c r="E22" s="88" t="str" cm="1">
        <f t="array" ref="E22">IFERROR(
  _xlfn.TEXTJOIN(CHAR(10), TRUE,
    _xlfn._xlws.FILTER(
      "- " &amp; 'Commitments &amp; Ownership Matrix'!$B$5:$B$30,
      (
        (
          ($I$7="Entire Team") * ('Commitments &amp; Ownership Matrix'!$D$5:$D$30=E20) +
          (('Commitments &amp; Ownership Matrix'!$F$5:$F$30=$I$7) * ('Commitments &amp; Ownership Matrix'!$D$5:$D$30=E20))
        )
        * ('Commitments &amp; Ownership Matrix'!$B$5:$B$30 &lt;&gt; "")
      )
    )
  ),
  ""
)</f>
        <v/>
      </c>
      <c r="F22" s="88" t="str" cm="1">
        <f t="array" ref="F22">IFERROR(
  _xlfn.TEXTJOIN(CHAR(10), TRUE,
    _xlfn._xlws.FILTER(
      "- " &amp; 'Commitments &amp; Ownership Matrix'!$B$5:$B$30,
      (
        (
          ($I$7="Entire Team") * ('Commitments &amp; Ownership Matrix'!$D$5:$D$30=F20) +
          (('Commitments &amp; Ownership Matrix'!$F$5:$F$30=$I$7) * ('Commitments &amp; Ownership Matrix'!$D$5:$D$30=F20))
        )
        * ('Commitments &amp; Ownership Matrix'!$B$5:$B$30 &lt;&gt; "")
      )
    )
  ),
  ""
)</f>
        <v/>
      </c>
      <c r="G22" s="88" t="str" cm="1">
        <f t="array" ref="G22">IFERROR(
  _xlfn.TEXTJOIN(CHAR(10), TRUE,
    _xlfn._xlws.FILTER(
      "- " &amp; 'Commitments &amp; Ownership Matrix'!$B$5:$B$30,
      (
        (
          ($I$7="Entire Team") * ('Commitments &amp; Ownership Matrix'!$D$5:$D$30=G20) +
          (('Commitments &amp; Ownership Matrix'!$F$5:$F$30=$I$7) * ('Commitments &amp; Ownership Matrix'!$D$5:$D$30=G20))
        )
        * ('Commitments &amp; Ownership Matrix'!$B$5:$B$30 &lt;&gt; "")
      )
    )
  ),
  ""
)</f>
        <v/>
      </c>
      <c r="H22" s="88" t="str" cm="1">
        <f t="array" ref="H22">IFERROR(
  _xlfn.TEXTJOIN(CHAR(10), TRUE,
    _xlfn._xlws.FILTER(
      "- " &amp; 'Commitments &amp; Ownership Matrix'!$B$5:$B$30,
      (
        (
          ($I$7="Entire Team") * ('Commitments &amp; Ownership Matrix'!$D$5:$D$30=H20) +
          (('Commitments &amp; Ownership Matrix'!$F$5:$F$30=$I$7) * ('Commitments &amp; Ownership Matrix'!$D$5:$D$30=H20))
        )
        * ('Commitments &amp; Ownership Matrix'!$B$5:$B$30 &lt;&gt; "")
      )
    )
  ),
  ""
)</f>
        <v/>
      </c>
      <c r="I22" s="67" t="str" cm="1">
        <f t="array" ref="I22">IFERROR(
  _xlfn.TEXTJOIN(CHAR(10), TRUE,
    _xlfn._xlws.FILTER(
      "- " &amp; 'Commitments &amp; Ownership Matrix'!$B$5:$B$30,
      (
        (
          ($I$7="Entire Team") * ('Commitments &amp; Ownership Matrix'!$D$5:$D$30=I20) +
          (('Commitments &amp; Ownership Matrix'!$F$5:$F$30=$I$7) * ('Commitments &amp; Ownership Matrix'!$D$5:$D$30=I20))
        )
        * ('Commitments &amp; Ownership Matrix'!$B$5:$B$30 &lt;&gt; "")
      )
    )
  ),
  ""
)</f>
        <v/>
      </c>
      <c r="J22" s="44"/>
      <c r="K22" s="26"/>
      <c r="O22" s="27"/>
      <c r="P22" s="27"/>
      <c r="Q22" s="23"/>
    </row>
    <row r="23" spans="2:17" s="20" customFormat="1" ht="49.9" customHeight="1" x14ac:dyDescent="0.25">
      <c r="B23" s="43"/>
      <c r="C23" s="51" t="str" cm="1">
        <f t="array" ref="C23">IFERROR(
  _xlfn.TEXTJOIN(CHAR(10), TRUE,
    _xlfn._xlws.FILTER(
      "- " &amp; 'Commitments &amp; Ownership Matrix'!$B$5:$B$40,
      (
        (($I$7="Entire Team") * ('Commitments &amp; Ownership Matrix'!$E$5:$E$40=C21))
        +
        (('Commitments &amp; Ownership Matrix'!$F$5:$F$40=$I$7) * ('Commitments &amp; Ownership Matrix'!$E$5:$E$40=C21))
      )
      * ('Commitments &amp; Ownership Matrix'!$H$5:$H$40="Exceptional")
      * ('Commitments &amp; Ownership Matrix'!$B$5:$B$40&lt;&gt;"")
    )
  ),
  ""
)</f>
        <v/>
      </c>
      <c r="D23" s="89" t="str" cm="1">
        <f t="array" ref="D23">IFERROR(
  _xlfn.TEXTJOIN(CHAR(10), TRUE,
    _xlfn._xlws.FILTER(
      "- " &amp; 'Commitments &amp; Ownership Matrix'!$B$5:$B$40,
      (
        (($I$7="Entire Team") * ('Commitments &amp; Ownership Matrix'!$E$5:$E$40=D21))
        +
        (('Commitments &amp; Ownership Matrix'!$F$5:$F$40=$I$7) * ('Commitments &amp; Ownership Matrix'!$E$5:$E$40=D21))
      )
      * ('Commitments &amp; Ownership Matrix'!$H$5:$H$40="Exceptional")
      * ('Commitments &amp; Ownership Matrix'!$B$5:$B$40&lt;&gt;"")
    )
  ),
  ""
)</f>
        <v/>
      </c>
      <c r="E23" s="89" t="str" cm="1">
        <f t="array" ref="E23">IFERROR(
  _xlfn.TEXTJOIN(CHAR(10), TRUE,
    _xlfn._xlws.FILTER(
      "- " &amp; 'Commitments &amp; Ownership Matrix'!$B$5:$B$40,
      (
        (($I$7="Entire Team") * ('Commitments &amp; Ownership Matrix'!$E$5:$E$40=E21))
        +
        (('Commitments &amp; Ownership Matrix'!$F$5:$F$40=$I$7) * ('Commitments &amp; Ownership Matrix'!$E$5:$E$40=E21))
      )
      * ('Commitments &amp; Ownership Matrix'!$H$5:$H$40="Exceptional")
      * ('Commitments &amp; Ownership Matrix'!$B$5:$B$40&lt;&gt;"")
    )
  ),
  ""
)</f>
        <v/>
      </c>
      <c r="F23" s="90" t="str" cm="1">
        <f t="array" ref="F23">IFERROR(
  _xlfn.TEXTJOIN(CHAR(10), TRUE,
    _xlfn._xlws.FILTER(
      "- " &amp; 'Commitments &amp; Ownership Matrix'!$B$5:$B$40,
      (
        (($I$7="Entire Team") * ('Commitments &amp; Ownership Matrix'!$E$5:$E$40=F21))
        +
        (('Commitments &amp; Ownership Matrix'!$F$5:$F$40=$I$7) * ('Commitments &amp; Ownership Matrix'!$E$5:$E$40=F21))
      )
      * ('Commitments &amp; Ownership Matrix'!$H$5:$H$40="Exceptional")
      * ('Commitments &amp; Ownership Matrix'!$B$5:$B$40&lt;&gt;"")
    )
  ),
  ""
)</f>
        <v/>
      </c>
      <c r="G23" s="89" t="str" cm="1">
        <f t="array" ref="G23">IFERROR(
  _xlfn.TEXTJOIN(CHAR(10), TRUE,
    _xlfn._xlws.FILTER(
      "- " &amp; 'Commitments &amp; Ownership Matrix'!$B$5:$B$40,
      (
        (($I$7="Entire Team") * ('Commitments &amp; Ownership Matrix'!$E$5:$E$40=G21))
        +
        (('Commitments &amp; Ownership Matrix'!$F$5:$F$40=$I$7) * ('Commitments &amp; Ownership Matrix'!$E$5:$E$40=G21))
      )
      * ('Commitments &amp; Ownership Matrix'!$H$5:$H$40="Exceptional")
      * ('Commitments &amp; Ownership Matrix'!$B$5:$B$40&lt;&gt;"")
    )
  ),
  ""
)</f>
        <v/>
      </c>
      <c r="H23" s="89" t="str" cm="1">
        <f t="array" ref="H23">IFERROR(
  _xlfn.TEXTJOIN(CHAR(10), TRUE,
    _xlfn._xlws.FILTER(
      "- " &amp; 'Commitments &amp; Ownership Matrix'!$B$5:$B$40,
      (
        (($I$7="Entire Team") * ('Commitments &amp; Ownership Matrix'!$E$5:$E$40=H21))
        +
        (('Commitments &amp; Ownership Matrix'!$F$5:$F$40=$I$7) * ('Commitments &amp; Ownership Matrix'!$E$5:$E$40=H21))
      )
      * ('Commitments &amp; Ownership Matrix'!$H$5:$H$40="Exceptional")
      * ('Commitments &amp; Ownership Matrix'!$B$5:$B$40&lt;&gt;"")
    )
  ),
  ""
)</f>
        <v/>
      </c>
      <c r="I23" s="67" t="str" cm="1">
        <f t="array" ref="I23">IFERROR(
  _xlfn.TEXTJOIN(CHAR(10), TRUE,
    _xlfn._xlws.FILTER(
      "- " &amp; 'Commitments &amp; Ownership Matrix'!$B$5:$B$40,
      (
        (($I$7="Entire Team") * ('Commitments &amp; Ownership Matrix'!$E$5:$E$40=I21))
        +
        (('Commitments &amp; Ownership Matrix'!$F$5:$F$40=$I$7) * ('Commitments &amp; Ownership Matrix'!$E$5:$E$40=I21))
      )
      * ('Commitments &amp; Ownership Matrix'!$H$5:$H$40="Exceptional")
      * ('Commitments &amp; Ownership Matrix'!$B$5:$B$40&lt;&gt;"")
    )
  ),
  ""
)</f>
        <v/>
      </c>
      <c r="J23" s="45"/>
      <c r="K23" s="15"/>
      <c r="L23" s="15"/>
      <c r="O23" s="2"/>
      <c r="P23" s="2"/>
      <c r="Q23" s="2"/>
    </row>
    <row r="24" spans="2:17" s="20" customFormat="1" ht="49.9" customHeight="1" thickBot="1" x14ac:dyDescent="0.3">
      <c r="B24" s="43"/>
      <c r="C24" s="51"/>
      <c r="D24" s="91" t="str">
        <f>_xlfn.XLOOKUP(D21, 'Date master'!$E:$E,'Date master'!$F:$F, "") &amp; " " &amp; _xlfn.XLOOKUP(D21, 'Date master'!$E:$E, 'Date master'!$G:$G, "")</f>
        <v xml:space="preserve"> </v>
      </c>
      <c r="E24" s="91" t="str">
        <f>_xlfn.XLOOKUP(E21, 'Date master'!$E:$E,'Date master'!$F:$F, "") &amp; " " &amp; _xlfn.XLOOKUP(E21, 'Date master'!$E:$E, 'Date master'!$G:$G, "")</f>
        <v xml:space="preserve"> </v>
      </c>
      <c r="F24" s="91" t="str">
        <f>_xlfn.XLOOKUP(F21, 'Date master'!$E:$E,'Date master'!$F:$F, "") &amp; " " &amp; _xlfn.XLOOKUP(F21, 'Date master'!$E:$E, 'Date master'!$G:$G, "")</f>
        <v xml:space="preserve"> </v>
      </c>
      <c r="G24" s="91" t="str">
        <f>_xlfn.XLOOKUP(G21, 'Date master'!$E:$E,'Date master'!$F:$F, "") &amp; " " &amp; _xlfn.XLOOKUP(G21, 'Date master'!$E:$E, 'Date master'!$G:$G, "")</f>
        <v xml:space="preserve"> </v>
      </c>
      <c r="H24" s="91" t="str">
        <f>_xlfn.XLOOKUP(H21, 'Date master'!$E:$E,'Date master'!$F:$F, "") &amp; " " &amp; _xlfn.XLOOKUP(H21, 'Date master'!$E:$E, 'Date master'!$G:$G, "")</f>
        <v xml:space="preserve"> </v>
      </c>
      <c r="I24" s="67"/>
      <c r="J24" s="45"/>
      <c r="K24" s="15"/>
      <c r="L24" s="15"/>
      <c r="O24" s="2"/>
      <c r="P24" s="2"/>
      <c r="Q24" s="2"/>
    </row>
    <row r="25" spans="2:17" s="20" customFormat="1" ht="16.5" thickTop="1" thickBot="1" x14ac:dyDescent="0.3">
      <c r="B25" s="41"/>
      <c r="C25" s="42" t="str">
        <f>_xlfn.IFNA(_xlfn.XLOOKUP(C26,'Date master'!$E:$E,'Date master'!$I:$I),"")</f>
        <v/>
      </c>
      <c r="D25" s="42">
        <f>_xlfn.IFNA(_xlfn.XLOOKUP(D26,'Date master'!$E:$E,'Date master'!$I:$I),"")</f>
        <v>14</v>
      </c>
      <c r="E25" s="42">
        <f>_xlfn.IFNA(_xlfn.XLOOKUP(E26,'Date master'!$E:$E,'Date master'!$I:$I),"")</f>
        <v>15</v>
      </c>
      <c r="F25" s="42">
        <f>_xlfn.IFNA(_xlfn.XLOOKUP(F26,'Date master'!$E:$E,'Date master'!$I:$I),"")</f>
        <v>16</v>
      </c>
      <c r="G25" s="42">
        <f>_xlfn.IFNA(_xlfn.XLOOKUP(G26,'Date master'!$E:$E,'Date master'!$I:$I),"")</f>
        <v>17</v>
      </c>
      <c r="H25" s="42">
        <f>_xlfn.IFNA(_xlfn.XLOOKUP(H26,'Date master'!$E:$E,'Date master'!$I:$I),"")</f>
        <v>18</v>
      </c>
      <c r="I25" s="42" t="str">
        <f>_xlfn.IFNA(_xlfn.XLOOKUP(I26,'Date master'!$E:$E,'Date master'!$I:$I),"")</f>
        <v/>
      </c>
      <c r="J25" s="42"/>
      <c r="M25" s="12"/>
      <c r="N25" s="12"/>
      <c r="O25" s="12"/>
      <c r="P25" s="12"/>
      <c r="Q25" s="2"/>
    </row>
    <row r="26" spans="2:17" s="20" customFormat="1" ht="15.75" thickTop="1" x14ac:dyDescent="0.25">
      <c r="B26" s="41"/>
      <c r="C26" s="53">
        <f t="shared" ref="C26:I26" si="3">C21+7</f>
        <v>45858</v>
      </c>
      <c r="D26" s="52">
        <f t="shared" si="3"/>
        <v>45859</v>
      </c>
      <c r="E26" s="52">
        <f t="shared" si="3"/>
        <v>45860</v>
      </c>
      <c r="F26" s="52">
        <f t="shared" si="3"/>
        <v>45861</v>
      </c>
      <c r="G26" s="52">
        <f t="shared" si="3"/>
        <v>45862</v>
      </c>
      <c r="H26" s="52">
        <f t="shared" si="3"/>
        <v>45863</v>
      </c>
      <c r="I26" s="66">
        <f t="shared" si="3"/>
        <v>45864</v>
      </c>
      <c r="J26" s="46"/>
      <c r="M26" s="12"/>
      <c r="N26" s="12"/>
      <c r="O26" s="12"/>
      <c r="P26" s="12"/>
      <c r="Q26" s="2"/>
    </row>
    <row r="27" spans="2:17" s="22" customFormat="1" ht="49.9" customHeight="1" x14ac:dyDescent="0.25">
      <c r="B27" s="43"/>
      <c r="C27" s="51" t="str" cm="1">
        <f t="array" ref="C27">IFERROR(
  _xlfn.TEXTJOIN(CHAR(10), TRUE,
    _xlfn._xlws.FILTER(
      "- " &amp; 'Commitments &amp; Ownership Matrix'!$B$5:$B$30,
      (
        (
          ($I$7="Entire Team") * ('Commitments &amp; Ownership Matrix'!$D$5:$D$30=C25) +
          (('Commitments &amp; Ownership Matrix'!$F$5:$F$30=$I$7) * ('Commitments &amp; Ownership Matrix'!$D$5:$D$30=C25))
        )
        * ('Commitments &amp; Ownership Matrix'!$B$5:$B$30 &lt;&gt; "")
      )
    )
  ),
  ""
)</f>
        <v/>
      </c>
      <c r="D27" s="88" t="str" cm="1">
        <f t="array" ref="D27">IFERROR(
  _xlfn.TEXTJOIN(CHAR(10), TRUE,
    _xlfn._xlws.FILTER(
      "- " &amp; 'Commitments &amp; Ownership Matrix'!$B$5:$B$30,
      (
        (
          ($I$7="Entire Team") * ('Commitments &amp; Ownership Matrix'!$D$5:$D$30=D25) +
          (('Commitments &amp; Ownership Matrix'!$F$5:$F$30=$I$7) * ('Commitments &amp; Ownership Matrix'!$D$5:$D$30=D25))
        )
        * ('Commitments &amp; Ownership Matrix'!$B$5:$B$30 &lt;&gt; "")
      )
    )
  ),
  ""
)</f>
        <v/>
      </c>
      <c r="E27" s="88" t="str" cm="1">
        <f t="array" ref="E27">IFERROR(
  _xlfn.TEXTJOIN(CHAR(10), TRUE,
    _xlfn._xlws.FILTER(
      "- " &amp; 'Commitments &amp; Ownership Matrix'!$B$5:$B$30,
      (
        (
          ($I$7="Entire Team") * ('Commitments &amp; Ownership Matrix'!$D$5:$D$30=E25) +
          (('Commitments &amp; Ownership Matrix'!$F$5:$F$30=$I$7) * ('Commitments &amp; Ownership Matrix'!$D$5:$D$30=E25))
        )
        * ('Commitments &amp; Ownership Matrix'!$B$5:$B$30 &lt;&gt; "")
      )
    )
  ),
  ""
)</f>
        <v/>
      </c>
      <c r="F27" s="88" t="str" cm="1">
        <f t="array" ref="F27">IFERROR(
  _xlfn.TEXTJOIN(CHAR(10), TRUE,
    _xlfn._xlws.FILTER(
      "- " &amp; 'Commitments &amp; Ownership Matrix'!$B$5:$B$30,
      (
        (
          ($I$7="Entire Team") * ('Commitments &amp; Ownership Matrix'!$D$5:$D$30=F25) +
          (('Commitments &amp; Ownership Matrix'!$F$5:$F$30=$I$7) * ('Commitments &amp; Ownership Matrix'!$D$5:$D$30=F25))
        )
        * ('Commitments &amp; Ownership Matrix'!$B$5:$B$30 &lt;&gt; "")
      )
    )
  ),
  ""
)</f>
        <v/>
      </c>
      <c r="G27" s="88" t="str" cm="1">
        <f t="array" ref="G27">IFERROR(
  _xlfn.TEXTJOIN(CHAR(10), TRUE,
    _xlfn._xlws.FILTER(
      "- " &amp; 'Commitments &amp; Ownership Matrix'!$B$5:$B$30,
      (
        (
          ($I$7="Entire Team") * ('Commitments &amp; Ownership Matrix'!$D$5:$D$30=G25) +
          (('Commitments &amp; Ownership Matrix'!$F$5:$F$30=$I$7) * ('Commitments &amp; Ownership Matrix'!$D$5:$D$30=G25))
        )
        * ('Commitments &amp; Ownership Matrix'!$B$5:$B$30 &lt;&gt; "")
      )
    )
  ),
  ""
)</f>
        <v/>
      </c>
      <c r="H27" s="88" t="str" cm="1">
        <f t="array" ref="H27">IFERROR(
  _xlfn.TEXTJOIN(CHAR(10), TRUE,
    _xlfn._xlws.FILTER(
      "- " &amp; 'Commitments &amp; Ownership Matrix'!$B$5:$B$30,
      (
        (
          ($I$7="Entire Team") * ('Commitments &amp; Ownership Matrix'!$D$5:$D$30=H25) +
          (('Commitments &amp; Ownership Matrix'!$F$5:$F$30=$I$7) * ('Commitments &amp; Ownership Matrix'!$D$5:$D$30=H25))
        )
        * ('Commitments &amp; Ownership Matrix'!$B$5:$B$30 &lt;&gt; "")
      )
    )
  ),
  ""
)</f>
        <v/>
      </c>
      <c r="I27" s="67" t="str" cm="1">
        <f t="array" ref="I27">IFERROR(
  _xlfn.TEXTJOIN(CHAR(10), TRUE,
    _xlfn._xlws.FILTER(
      "- " &amp; 'Commitments &amp; Ownership Matrix'!$B$5:$B$30,
      (
        (
          ($I$7="Entire Team") * ('Commitments &amp; Ownership Matrix'!$D$5:$D$30=I25) +
          (('Commitments &amp; Ownership Matrix'!$F$5:$F$30=$I$7) * ('Commitments &amp; Ownership Matrix'!$D$5:$D$30=I25))
        )
        * ('Commitments &amp; Ownership Matrix'!$B$5:$B$30 &lt;&gt; "")
      )
    )
  ),
  ""
)</f>
        <v/>
      </c>
      <c r="J27" s="44"/>
      <c r="K27" s="26"/>
      <c r="O27" s="27"/>
      <c r="P27" s="27"/>
      <c r="Q27" s="23"/>
    </row>
    <row r="28" spans="2:17" s="20" customFormat="1" ht="49.9" customHeight="1" x14ac:dyDescent="0.25">
      <c r="B28" s="43"/>
      <c r="C28" s="51" t="str" cm="1">
        <f t="array" ref="C28">IFERROR(
  _xlfn.TEXTJOIN(CHAR(10), TRUE,
    _xlfn._xlws.FILTER(
      "- " &amp; 'Commitments &amp; Ownership Matrix'!$B$5:$B$40,
      (
        (($I$7="Entire Team") * ('Commitments &amp; Ownership Matrix'!$E$5:$E$40=C26))
        +
        (('Commitments &amp; Ownership Matrix'!$F$5:$F$40=$I$7) * ('Commitments &amp; Ownership Matrix'!$E$5:$E$40=C26))
      )
      * ('Commitments &amp; Ownership Matrix'!$H$5:$H$40="Exceptional")
      * ('Commitments &amp; Ownership Matrix'!$B$5:$B$40&lt;&gt;"")
    )
  ),
  ""
)</f>
        <v/>
      </c>
      <c r="D28" s="89" t="str" cm="1">
        <f t="array" ref="D28">IFERROR(
  _xlfn.TEXTJOIN(CHAR(10), TRUE,
    _xlfn._xlws.FILTER(
      "- " &amp; 'Commitments &amp; Ownership Matrix'!$B$5:$B$40,
      (
        (($I$7="Entire Team") * ('Commitments &amp; Ownership Matrix'!$E$5:$E$40=D26))
        +
        (('Commitments &amp; Ownership Matrix'!$F$5:$F$40=$I$7) * ('Commitments &amp; Ownership Matrix'!$E$5:$E$40=D26))
      )
      * ('Commitments &amp; Ownership Matrix'!$H$5:$H$40="Exceptional")
      * ('Commitments &amp; Ownership Matrix'!$B$5:$B$40&lt;&gt;"")
    )
  ),
  ""
)</f>
        <v/>
      </c>
      <c r="E28" s="89" t="str" cm="1">
        <f t="array" ref="E28">IFERROR(
  _xlfn.TEXTJOIN(CHAR(10), TRUE,
    _xlfn._xlws.FILTER(
      "- " &amp; 'Commitments &amp; Ownership Matrix'!$B$5:$B$40,
      (
        (($I$7="Entire Team") * ('Commitments &amp; Ownership Matrix'!$E$5:$E$40=E26))
        +
        (('Commitments &amp; Ownership Matrix'!$F$5:$F$40=$I$7) * ('Commitments &amp; Ownership Matrix'!$E$5:$E$40=E26))
      )
      * ('Commitments &amp; Ownership Matrix'!$H$5:$H$40="Exceptional")
      * ('Commitments &amp; Ownership Matrix'!$B$5:$B$40&lt;&gt;"")
    )
  ),
  ""
)</f>
        <v/>
      </c>
      <c r="F28" s="90" t="str" cm="1">
        <f t="array" ref="F28">IFERROR(
  _xlfn.TEXTJOIN(CHAR(10), TRUE,
    _xlfn._xlws.FILTER(
      "- " &amp; 'Commitments &amp; Ownership Matrix'!$B$5:$B$40,
      (
        (($I$7="Entire Team") * ('Commitments &amp; Ownership Matrix'!$E$5:$E$40=F26))
        +
        (('Commitments &amp; Ownership Matrix'!$F$5:$F$40=$I$7) * ('Commitments &amp; Ownership Matrix'!$E$5:$E$40=F26))
      )
      * ('Commitments &amp; Ownership Matrix'!$H$5:$H$40="Exceptional")
      * ('Commitments &amp; Ownership Matrix'!$B$5:$B$40&lt;&gt;"")
    )
  ),
  ""
)</f>
        <v/>
      </c>
      <c r="G28" s="89" t="str" cm="1">
        <f t="array" ref="G28">IFERROR(
  _xlfn.TEXTJOIN(CHAR(10), TRUE,
    _xlfn._xlws.FILTER(
      "- " &amp; 'Commitments &amp; Ownership Matrix'!$B$5:$B$40,
      (
        (($I$7="Entire Team") * ('Commitments &amp; Ownership Matrix'!$E$5:$E$40=G26))
        +
        (('Commitments &amp; Ownership Matrix'!$F$5:$F$40=$I$7) * ('Commitments &amp; Ownership Matrix'!$E$5:$E$40=G26))
      )
      * ('Commitments &amp; Ownership Matrix'!$H$5:$H$40="Exceptional")
      * ('Commitments &amp; Ownership Matrix'!$B$5:$B$40&lt;&gt;"")
    )
  ),
  ""
)</f>
        <v/>
      </c>
      <c r="H28" s="89" t="str" cm="1">
        <f t="array" ref="H28">IFERROR(
  _xlfn.TEXTJOIN(CHAR(10), TRUE,
    _xlfn._xlws.FILTER(
      "- " &amp; 'Commitments &amp; Ownership Matrix'!$B$5:$B$40,
      (
        (($I$7="Entire Team") * ('Commitments &amp; Ownership Matrix'!$E$5:$E$40=H26))
        +
        (('Commitments &amp; Ownership Matrix'!$F$5:$F$40=$I$7) * ('Commitments &amp; Ownership Matrix'!$E$5:$E$40=H26))
      )
      * ('Commitments &amp; Ownership Matrix'!$H$5:$H$40="Exceptional")
      * ('Commitments &amp; Ownership Matrix'!$B$5:$B$40&lt;&gt;"")
    )
  ),
  ""
)</f>
        <v/>
      </c>
      <c r="I28" s="67" t="str" cm="1">
        <f t="array" ref="I28">IFERROR(
  _xlfn.TEXTJOIN(CHAR(10), TRUE,
    _xlfn._xlws.FILTER(
      "- " &amp; 'Commitments &amp; Ownership Matrix'!$B$5:$B$40,
      (
        (($I$7="Entire Team") * ('Commitments &amp; Ownership Matrix'!$E$5:$E$40=I26))
        +
        (('Commitments &amp; Ownership Matrix'!$F$5:$F$40=$I$7) * ('Commitments &amp; Ownership Matrix'!$E$5:$E$40=I26))
      )
      * ('Commitments &amp; Ownership Matrix'!$H$5:$H$40="Exceptional")
      * ('Commitments &amp; Ownership Matrix'!$B$5:$B$40&lt;&gt;"")
    )
  ),
  ""
)</f>
        <v/>
      </c>
      <c r="J28" s="45"/>
      <c r="K28" s="15"/>
      <c r="L28" s="15"/>
      <c r="O28" s="2"/>
      <c r="P28" s="2"/>
      <c r="Q28" s="2"/>
    </row>
    <row r="29" spans="2:17" s="20" customFormat="1" ht="49.9" customHeight="1" thickBot="1" x14ac:dyDescent="0.3">
      <c r="B29" s="43"/>
      <c r="C29" s="51"/>
      <c r="D29" s="91" t="str">
        <f>_xlfn.XLOOKUP(D26, 'Date master'!$E:$E,'Date master'!$F:$F, "") &amp; " " &amp; _xlfn.XLOOKUP(D26, 'Date master'!$E:$E, 'Date master'!$G:$G, "")</f>
        <v xml:space="preserve"> </v>
      </c>
      <c r="E29" s="91" t="str">
        <f>_xlfn.XLOOKUP(E26, 'Date master'!$E:$E,'Date master'!$F:$F, "") &amp; " " &amp; _xlfn.XLOOKUP(E26, 'Date master'!$E:$E, 'Date master'!$G:$G, "")</f>
        <v xml:space="preserve"> </v>
      </c>
      <c r="F29" s="91" t="str">
        <f>_xlfn.XLOOKUP(F26, 'Date master'!$E:$E,'Date master'!$F:$F, "") &amp; " " &amp; _xlfn.XLOOKUP(F26, 'Date master'!$E:$E, 'Date master'!$G:$G, "")</f>
        <v xml:space="preserve"> </v>
      </c>
      <c r="G29" s="91" t="str">
        <f>_xlfn.XLOOKUP(G26, 'Date master'!$E:$E,'Date master'!$F:$F, "") &amp; " " &amp; _xlfn.XLOOKUP(G26, 'Date master'!$E:$E, 'Date master'!$G:$G, "")</f>
        <v xml:space="preserve"> </v>
      </c>
      <c r="H29" s="91" t="str">
        <f>_xlfn.XLOOKUP(H26, 'Date master'!$E:$E,'Date master'!$F:$F, "") &amp; " " &amp; _xlfn.XLOOKUP(H26, 'Date master'!$E:$E, 'Date master'!$G:$G, "")</f>
        <v xml:space="preserve"> </v>
      </c>
      <c r="I29" s="67"/>
      <c r="J29" s="45"/>
      <c r="K29" s="15"/>
      <c r="L29" s="15"/>
      <c r="O29" s="2"/>
      <c r="P29" s="2"/>
      <c r="Q29" s="2"/>
    </row>
    <row r="30" spans="2:17" s="20" customFormat="1" ht="16.5" thickTop="1" thickBot="1" x14ac:dyDescent="0.3">
      <c r="B30" s="41"/>
      <c r="C30" s="42" t="str">
        <f>_xlfn.IFNA(_xlfn.XLOOKUP(C31,'Date master'!$E:$E,'Date master'!$I:$I),"")</f>
        <v/>
      </c>
      <c r="D30" s="42">
        <f>_xlfn.IFNA(_xlfn.XLOOKUP(D31,'Date master'!$E:$E,'Date master'!$I:$I),"")</f>
        <v>19</v>
      </c>
      <c r="E30" s="42">
        <f>_xlfn.IFNA(_xlfn.XLOOKUP(E31,'Date master'!$E:$E,'Date master'!$I:$I),"")</f>
        <v>20</v>
      </c>
      <c r="F30" s="42">
        <f>_xlfn.IFNA(_xlfn.XLOOKUP(F31,'Date master'!$E:$E,'Date master'!$I:$I),"")</f>
        <v>21</v>
      </c>
      <c r="G30" s="42">
        <f>_xlfn.IFNA(_xlfn.XLOOKUP(G31,'Date master'!$E:$E,'Date master'!$I:$I),"")</f>
        <v>22</v>
      </c>
      <c r="H30" s="42">
        <f>_xlfn.IFNA(_xlfn.XLOOKUP(H31,'Date master'!$E:$E,'Date master'!$I:$I),"")</f>
        <v>1</v>
      </c>
      <c r="I30" s="42" t="str">
        <f>_xlfn.IFNA(_xlfn.XLOOKUP(I31,'Date master'!$E:$E,'Date master'!$I:$I),"")</f>
        <v/>
      </c>
      <c r="J30" s="42"/>
    </row>
    <row r="31" spans="2:17" s="20" customFormat="1" ht="15.75" thickTop="1" x14ac:dyDescent="0.25">
      <c r="B31" s="41"/>
      <c r="C31" s="53">
        <f>C26+7</f>
        <v>45865</v>
      </c>
      <c r="D31" s="52">
        <f t="shared" ref="D31:I31" si="4">D26+7</f>
        <v>45866</v>
      </c>
      <c r="E31" s="52">
        <f t="shared" si="4"/>
        <v>45867</v>
      </c>
      <c r="F31" s="52">
        <f t="shared" si="4"/>
        <v>45868</v>
      </c>
      <c r="G31" s="52">
        <f t="shared" si="4"/>
        <v>45869</v>
      </c>
      <c r="H31" s="52">
        <f t="shared" si="4"/>
        <v>45870</v>
      </c>
      <c r="I31" s="66">
        <f t="shared" si="4"/>
        <v>45871</v>
      </c>
      <c r="J31" s="46"/>
    </row>
    <row r="32" spans="2:17" s="22" customFormat="1" ht="49.9" customHeight="1" x14ac:dyDescent="0.25">
      <c r="B32" s="43"/>
      <c r="C32" s="51" t="str" cm="1">
        <f t="array" ref="C32">IFERROR(
  _xlfn.TEXTJOIN(CHAR(10), TRUE,
    _xlfn._xlws.FILTER(
      "- " &amp; 'Commitments &amp; Ownership Matrix'!$B$5:$B$30,
      (
        (
          ($I$7="Entire Team") * ('Commitments &amp; Ownership Matrix'!$D$5:$D$30=C30) +
          (('Commitments &amp; Ownership Matrix'!$F$5:$F$30=$I$7) * ('Commitments &amp; Ownership Matrix'!$D$5:$D$30=C30))
        )
        * ('Commitments &amp; Ownership Matrix'!$B$5:$B$30 &lt;&gt; "")
      )
    )
  ),
  ""
)</f>
        <v/>
      </c>
      <c r="D32" s="88" t="str" cm="1">
        <f t="array" ref="D32">IFERROR(
  _xlfn.TEXTJOIN(CHAR(10), TRUE,
    _xlfn._xlws.FILTER(
      "- " &amp; 'Commitments &amp; Ownership Matrix'!$B$5:$B$30,
      (
        (
          ($I$7="Entire Team") * ('Commitments &amp; Ownership Matrix'!$D$5:$D$30=D30) +
          (('Commitments &amp; Ownership Matrix'!$F$5:$F$30=$I$7) * ('Commitments &amp; Ownership Matrix'!$D$5:$D$30=D30))
        )
        * ('Commitments &amp; Ownership Matrix'!$B$5:$B$30 &lt;&gt; "")
      )
    )
  ),
  ""
)</f>
        <v/>
      </c>
      <c r="E32" s="88" t="str" cm="1">
        <f t="array" ref="E32">IFERROR(
  _xlfn.TEXTJOIN(CHAR(10), TRUE,
    _xlfn._xlws.FILTER(
      "- " &amp; 'Commitments &amp; Ownership Matrix'!$B$5:$B$30,
      (
        (
          ($I$7="Entire Team") * ('Commitments &amp; Ownership Matrix'!$D$5:$D$30=E30) +
          (('Commitments &amp; Ownership Matrix'!$F$5:$F$30=$I$7) * ('Commitments &amp; Ownership Matrix'!$D$5:$D$30=E30))
        )
        * ('Commitments &amp; Ownership Matrix'!$B$5:$B$30 &lt;&gt; "")
      )
    )
  ),
  ""
)</f>
        <v/>
      </c>
      <c r="F32" s="88" t="str" cm="1">
        <f t="array" ref="F32">IFERROR(
  _xlfn.TEXTJOIN(CHAR(10), TRUE,
    _xlfn._xlws.FILTER(
      "- " &amp; 'Commitments &amp; Ownership Matrix'!$B$5:$B$30,
      (
        (
          ($I$7="Entire Team") * ('Commitments &amp; Ownership Matrix'!$D$5:$D$30=F30) +
          (('Commitments &amp; Ownership Matrix'!$F$5:$F$30=$I$7) * ('Commitments &amp; Ownership Matrix'!$D$5:$D$30=F30))
        )
        * ('Commitments &amp; Ownership Matrix'!$B$5:$B$30 &lt;&gt; "")
      )
    )
  ),
  ""
)</f>
        <v/>
      </c>
      <c r="G32" s="88" t="str" cm="1">
        <f t="array" ref="G32">IFERROR(
  _xlfn.TEXTJOIN(CHAR(10), TRUE,
    _xlfn._xlws.FILTER(
      "- " &amp; 'Commitments &amp; Ownership Matrix'!$B$5:$B$30,
      (
        (
          ($I$7="Entire Team") * ('Commitments &amp; Ownership Matrix'!$D$5:$D$30=G30) +
          (('Commitments &amp; Ownership Matrix'!$F$5:$F$30=$I$7) * ('Commitments &amp; Ownership Matrix'!$D$5:$D$30=G30))
        )
        * ('Commitments &amp; Ownership Matrix'!$B$5:$B$30 &lt;&gt; "")
      )
    )
  ),
  ""
)</f>
        <v/>
      </c>
      <c r="H32" s="88" t="str" cm="1">
        <f t="array" ref="H32">IFERROR(
  _xlfn.TEXTJOIN(CHAR(10), TRUE,
    _xlfn._xlws.FILTER(
      "- " &amp; 'Commitments &amp; Ownership Matrix'!$B$5:$B$30,
      (
        (
          ($I$7="Entire Team") * ('Commitments &amp; Ownership Matrix'!$D$5:$D$30=H30) +
          (('Commitments &amp; Ownership Matrix'!$F$5:$F$30=$I$7) * ('Commitments &amp; Ownership Matrix'!$D$5:$D$30=H30))
        )
        * ('Commitments &amp; Ownership Matrix'!$B$5:$B$30 &lt;&gt; "")
      )
    )
  ),
  ""
)</f>
        <v/>
      </c>
      <c r="I32" s="67" t="str" cm="1">
        <f t="array" ref="I32">IFERROR(
  _xlfn.TEXTJOIN(CHAR(10), TRUE,
    _xlfn._xlws.FILTER(
      "- " &amp; 'Commitments &amp; Ownership Matrix'!$B$5:$B$30,
      (
        (
          ($I$7="Entire Team") * ('Commitments &amp; Ownership Matrix'!$D$5:$D$30=I30) +
          (('Commitments &amp; Ownership Matrix'!$F$5:$F$30=$I$7) * ('Commitments &amp; Ownership Matrix'!$D$5:$D$30=I30))
        )
        * ('Commitments &amp; Ownership Matrix'!$B$5:$B$30 &lt;&gt; "")
      )
    )
  ),
  ""
)</f>
        <v/>
      </c>
      <c r="J32" s="44"/>
      <c r="K32" s="26"/>
    </row>
    <row r="33" spans="2:17" s="20" customFormat="1" ht="49.9" customHeight="1" x14ac:dyDescent="0.25">
      <c r="B33" s="43"/>
      <c r="C33" s="51" t="str" cm="1">
        <f t="array" ref="C33">IFERROR(
  _xlfn.TEXTJOIN(CHAR(10), TRUE,
    _xlfn._xlws.FILTER(
      "- " &amp; 'Commitments &amp; Ownership Matrix'!$B$5:$B$40,
      (
        (($I$7="Entire Team") * ('Commitments &amp; Ownership Matrix'!$E$5:$E$40=C31))
        +
        (('Commitments &amp; Ownership Matrix'!$F$5:$F$40=$I$7) * ('Commitments &amp; Ownership Matrix'!$E$5:$E$40=C31))
      )
      * ('Commitments &amp; Ownership Matrix'!$H$5:$H$40="Exceptional")
      * ('Commitments &amp; Ownership Matrix'!$B$5:$B$40&lt;&gt;"")
    )
  ),
  ""
)</f>
        <v/>
      </c>
      <c r="D33" s="89" t="str" cm="1">
        <f t="array" ref="D33">IFERROR(
  _xlfn.TEXTJOIN(CHAR(10), TRUE,
    _xlfn._xlws.FILTER(
      "- " &amp; 'Commitments &amp; Ownership Matrix'!$B$5:$B$40,
      (
        (($I$7="Entire Team") * ('Commitments &amp; Ownership Matrix'!$E$5:$E$40=D31))
        +
        (('Commitments &amp; Ownership Matrix'!$F$5:$F$40=$I$7) * ('Commitments &amp; Ownership Matrix'!$E$5:$E$40=D31))
      )
      * ('Commitments &amp; Ownership Matrix'!$H$5:$H$40="Exceptional")
      * ('Commitments &amp; Ownership Matrix'!$B$5:$B$40&lt;&gt;"")
    )
  ),
  ""
)</f>
        <v/>
      </c>
      <c r="E33" s="89" t="str" cm="1">
        <f t="array" ref="E33">IFERROR(
  _xlfn.TEXTJOIN(CHAR(10), TRUE,
    _xlfn._xlws.FILTER(
      "- " &amp; 'Commitments &amp; Ownership Matrix'!$B$5:$B$40,
      (
        (($I$7="Entire Team") * ('Commitments &amp; Ownership Matrix'!$E$5:$E$40=E31))
        +
        (('Commitments &amp; Ownership Matrix'!$F$5:$F$40=$I$7) * ('Commitments &amp; Ownership Matrix'!$E$5:$E$40=E31))
      )
      * ('Commitments &amp; Ownership Matrix'!$H$5:$H$40="Exceptional")
      * ('Commitments &amp; Ownership Matrix'!$B$5:$B$40&lt;&gt;"")
    )
  ),
  ""
)</f>
        <v/>
      </c>
      <c r="F33" s="90" t="str" cm="1">
        <f t="array" ref="F33">IFERROR(
  _xlfn.TEXTJOIN(CHAR(10), TRUE,
    _xlfn._xlws.FILTER(
      "- " &amp; 'Commitments &amp; Ownership Matrix'!$B$5:$B$40,
      (
        (($I$7="Entire Team") * ('Commitments &amp; Ownership Matrix'!$E$5:$E$40=F31))
        +
        (('Commitments &amp; Ownership Matrix'!$F$5:$F$40=$I$7) * ('Commitments &amp; Ownership Matrix'!$E$5:$E$40=F31))
      )
      * ('Commitments &amp; Ownership Matrix'!$H$5:$H$40="Exceptional")
      * ('Commitments &amp; Ownership Matrix'!$B$5:$B$40&lt;&gt;"")
    )
  ),
  ""
)</f>
        <v/>
      </c>
      <c r="G33" s="89" t="str" cm="1">
        <f t="array" ref="G33">IFERROR(
  _xlfn.TEXTJOIN(CHAR(10), TRUE,
    _xlfn._xlws.FILTER(
      "- " &amp; 'Commitments &amp; Ownership Matrix'!$B$5:$B$40,
      (
        (($I$7="Entire Team") * ('Commitments &amp; Ownership Matrix'!$E$5:$E$40=G31))
        +
        (('Commitments &amp; Ownership Matrix'!$F$5:$F$40=$I$7) * ('Commitments &amp; Ownership Matrix'!$E$5:$E$40=G31))
      )
      * ('Commitments &amp; Ownership Matrix'!$H$5:$H$40="Exceptional")
      * ('Commitments &amp; Ownership Matrix'!$B$5:$B$40&lt;&gt;"")
    )
  ),
  ""
)</f>
        <v/>
      </c>
      <c r="H33" s="89" t="str" cm="1">
        <f t="array" ref="H33">IFERROR(
  _xlfn.TEXTJOIN(CHAR(10), TRUE,
    _xlfn._xlws.FILTER(
      "- " &amp; 'Commitments &amp; Ownership Matrix'!$B$5:$B$40,
      (
        (($I$7="Entire Team") * ('Commitments &amp; Ownership Matrix'!$E$5:$E$40=H31))
        +
        (('Commitments &amp; Ownership Matrix'!$F$5:$F$40=$I$7) * ('Commitments &amp; Ownership Matrix'!$E$5:$E$40=H31))
      )
      * ('Commitments &amp; Ownership Matrix'!$H$5:$H$40="Exceptional")
      * ('Commitments &amp; Ownership Matrix'!$B$5:$B$40&lt;&gt;"")
    )
  ),
  ""
)</f>
        <v/>
      </c>
      <c r="I33" s="67" t="str" cm="1">
        <f t="array" ref="I33">IFERROR(
  _xlfn.TEXTJOIN(CHAR(10), TRUE,
    _xlfn._xlws.FILTER(
      "- " &amp; 'Commitments &amp; Ownership Matrix'!$B$5:$B$40,
      (
        (($I$7="Entire Team") * ('Commitments &amp; Ownership Matrix'!$E$5:$E$40=I31))
        +
        (('Commitments &amp; Ownership Matrix'!$F$5:$F$40=$I$7) * ('Commitments &amp; Ownership Matrix'!$E$5:$E$40=I31))
      )
      * ('Commitments &amp; Ownership Matrix'!$H$5:$H$40="Exceptional")
      * ('Commitments &amp; Ownership Matrix'!$B$5:$B$40&lt;&gt;"")
    )
  ),
  ""
)</f>
        <v/>
      </c>
      <c r="J33" s="45"/>
      <c r="K33" s="15"/>
      <c r="L33" s="15"/>
      <c r="O33" s="2"/>
      <c r="P33" s="2"/>
      <c r="Q33" s="2"/>
    </row>
    <row r="34" spans="2:17" s="20" customFormat="1" ht="49.9" customHeight="1" thickBot="1" x14ac:dyDescent="0.3">
      <c r="B34" s="43"/>
      <c r="C34" s="51"/>
      <c r="D34" s="91" t="str">
        <f>_xlfn.XLOOKUP(D31, 'Date master'!$E:$E,'Date master'!$F:$F, "") &amp; " " &amp; _xlfn.XLOOKUP(D31, 'Date master'!$E:$E, 'Date master'!$G:$G, "")</f>
        <v xml:space="preserve"> </v>
      </c>
      <c r="E34" s="91" t="str">
        <f>_xlfn.XLOOKUP(E31, 'Date master'!$E:$E,'Date master'!$F:$F, "") &amp; " " &amp; _xlfn.XLOOKUP(E31, 'Date master'!$E:$E, 'Date master'!$G:$G, "")</f>
        <v xml:space="preserve"> </v>
      </c>
      <c r="F34" s="91" t="str">
        <f>_xlfn.XLOOKUP(F31, 'Date master'!$E:$E,'Date master'!$F:$F, "") &amp; " " &amp; _xlfn.XLOOKUP(F31, 'Date master'!$E:$E, 'Date master'!$G:$G, "")</f>
        <v xml:space="preserve"> </v>
      </c>
      <c r="G34" s="91" t="str">
        <f>_xlfn.XLOOKUP(G31, 'Date master'!$E:$E,'Date master'!$F:$F, "") &amp; " " &amp; _xlfn.XLOOKUP(G31, 'Date master'!$E:$E, 'Date master'!$G:$G, "")</f>
        <v xml:space="preserve"> </v>
      </c>
      <c r="H34" s="91" t="str">
        <f>_xlfn.XLOOKUP(H31, 'Date master'!$E:$E,'Date master'!$F:$F, "") &amp; " " &amp; _xlfn.XLOOKUP(H31, 'Date master'!$E:$E, 'Date master'!$G:$G, "")</f>
        <v xml:space="preserve"> </v>
      </c>
      <c r="I34" s="67"/>
      <c r="J34" s="45"/>
      <c r="K34" s="15"/>
      <c r="L34" s="15"/>
      <c r="O34" s="2"/>
      <c r="P34" s="2"/>
      <c r="Q34" s="2"/>
    </row>
    <row r="35" spans="2:17" s="20" customFormat="1" ht="20.65" customHeight="1" thickTop="1" x14ac:dyDescent="0.25">
      <c r="B35" s="41"/>
      <c r="C35" s="42"/>
      <c r="D35" s="42"/>
      <c r="E35" s="42"/>
      <c r="F35" s="42"/>
      <c r="G35" s="42"/>
      <c r="H35" s="42"/>
      <c r="I35" s="42"/>
      <c r="J35" s="42"/>
      <c r="K35" s="6"/>
    </row>
    <row r="36" spans="2:17" s="20" customFormat="1" ht="19.899999999999999" customHeight="1" x14ac:dyDescent="0.25">
      <c r="C36" s="28"/>
      <c r="D36" s="28"/>
      <c r="E36" s="28"/>
      <c r="F36" s="28"/>
      <c r="G36" s="28"/>
      <c r="H36" s="28"/>
      <c r="I36" s="28"/>
      <c r="J36" s="24"/>
    </row>
    <row r="37" spans="2:17" s="20" customFormat="1" ht="94.5" customHeight="1" x14ac:dyDescent="0.25">
      <c r="C37" s="29"/>
      <c r="D37" s="29"/>
      <c r="E37" s="29"/>
      <c r="F37" s="29"/>
      <c r="G37" s="29"/>
      <c r="H37" s="29"/>
      <c r="I37" s="29"/>
      <c r="J37" s="29"/>
      <c r="K37" s="97"/>
      <c r="L37" s="97"/>
      <c r="M37" s="97"/>
      <c r="N37" s="97"/>
      <c r="O37" s="97"/>
      <c r="P37" s="97"/>
    </row>
    <row r="38" spans="2:17" x14ac:dyDescent="0.25">
      <c r="K38" s="97"/>
      <c r="L38" s="97"/>
      <c r="M38" s="97"/>
      <c r="N38" s="97"/>
      <c r="O38" s="97"/>
      <c r="P38" s="97"/>
    </row>
    <row r="39" spans="2:17" x14ac:dyDescent="0.25">
      <c r="K39" s="97"/>
      <c r="L39" s="97"/>
      <c r="M39" s="97"/>
      <c r="N39" s="97"/>
      <c r="O39" s="97"/>
      <c r="P39" s="97"/>
    </row>
    <row r="40" spans="2:17" x14ac:dyDescent="0.25">
      <c r="K40" s="97"/>
      <c r="L40" s="97"/>
      <c r="M40" s="97"/>
      <c r="N40" s="97"/>
      <c r="O40" s="97"/>
      <c r="P40" s="97"/>
    </row>
    <row r="41" spans="2:17" x14ac:dyDescent="0.25">
      <c r="K41" s="7"/>
    </row>
    <row r="42" spans="2:17" x14ac:dyDescent="0.25">
      <c r="K42" s="96"/>
      <c r="L42" s="96"/>
      <c r="M42" s="96"/>
      <c r="N42" s="96"/>
      <c r="O42" s="96"/>
    </row>
    <row r="43" spans="2:17" x14ac:dyDescent="0.25">
      <c r="K43" s="96"/>
      <c r="L43" s="96"/>
      <c r="M43" s="96"/>
      <c r="N43" s="96"/>
      <c r="O43" s="96"/>
    </row>
    <row r="44" spans="2:17" x14ac:dyDescent="0.25">
      <c r="K44" s="96"/>
      <c r="L44" s="96"/>
      <c r="M44" s="96"/>
      <c r="N44" s="96"/>
      <c r="O44" s="96"/>
    </row>
    <row r="47" spans="2:17" s="25" customFormat="1" x14ac:dyDescent="0.25">
      <c r="D47" s="2"/>
      <c r="E47" s="2"/>
      <c r="F47" s="2"/>
      <c r="G47" s="2"/>
      <c r="H47" s="2"/>
      <c r="I47" s="2"/>
      <c r="J47" s="2"/>
    </row>
  </sheetData>
  <mergeCells count="10">
    <mergeCell ref="C3:G3"/>
    <mergeCell ref="K43:O43"/>
    <mergeCell ref="K44:O44"/>
    <mergeCell ref="K37:P40"/>
    <mergeCell ref="K42:O42"/>
    <mergeCell ref="C6:F7"/>
    <mergeCell ref="L7:N7"/>
    <mergeCell ref="L5:N5"/>
    <mergeCell ref="L6:N6"/>
    <mergeCell ref="L8:N9"/>
  </mergeCells>
  <phoneticPr fontId="4" type="noConversion"/>
  <conditionalFormatting sqref="C13:I13">
    <cfRule type="expression" dxfId="10" priority="6">
      <formula>C13&lt;&gt;""</formula>
    </cfRule>
  </conditionalFormatting>
  <conditionalFormatting sqref="C18:I18">
    <cfRule type="expression" dxfId="9" priority="5">
      <formula>C18&lt;&gt;""</formula>
    </cfRule>
  </conditionalFormatting>
  <conditionalFormatting sqref="C23:I23">
    <cfRule type="expression" dxfId="8" priority="4">
      <formula>C23&lt;&gt;""</formula>
    </cfRule>
  </conditionalFormatting>
  <conditionalFormatting sqref="C28:I28">
    <cfRule type="expression" dxfId="7" priority="3">
      <formula>C28&lt;&gt;""</formula>
    </cfRule>
  </conditionalFormatting>
  <conditionalFormatting sqref="C33:I33">
    <cfRule type="expression" dxfId="6" priority="2">
      <formula>C33&lt;&gt;""</formula>
    </cfRule>
  </conditionalFormatting>
  <conditionalFormatting sqref="C10:J10 C15:J15 C20:J20 C25:J25 C30:J30 C35:J35">
    <cfRule type="expression" dxfId="5" priority="41">
      <formula>TEXT(C11,"mmmm")&lt;&gt;$G$7</formula>
    </cfRule>
  </conditionalFormatting>
  <conditionalFormatting sqref="C11:J14 C16:J19 C21:J24 C26:J29 C31:J34 C36:J37">
    <cfRule type="expression" dxfId="4" priority="35">
      <formula>MONTH(C11)&lt;&gt;MONTH($G$7&amp;$H$7)</formula>
    </cfRule>
  </conditionalFormatting>
  <conditionalFormatting sqref="H14">
    <cfRule type="expression" dxfId="3" priority="1">
      <formula>H13&lt;&gt;""</formula>
    </cfRule>
  </conditionalFormatting>
  <conditionalFormatting sqref="K5:K8">
    <cfRule type="expression" dxfId="2" priority="7">
      <formula>MONTH(K5)&lt;&gt;MONTH($G$7&amp;$H$7)</formula>
    </cfRule>
  </conditionalFormatting>
  <hyperlinks>
    <hyperlink ref="E4" location="'Detailed Tasks'!A1" display="Detailed Tasks" xr:uid="{61F7318D-91E6-4B3A-A6E2-7332FE740547}"/>
  </hyperlinks>
  <pageMargins left="0.25" right="0.25" top="0.75" bottom="0.75" header="0.3" footer="0.3"/>
  <pageSetup paperSize="9" scale="3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FF4E6FE2-110B-44A9-9172-9A1211D9D4DD}">
          <x14:formula1>
            <xm:f>Categories!$M$3:$M$12</xm:f>
          </x14:formula1>
          <xm:sqref>I7:J7</xm:sqref>
        </x14:dataValidation>
        <x14:dataValidation type="list" allowBlank="1" showInputMessage="1" showErrorMessage="1" xr:uid="{705DBDC0-A309-4C2B-B0CA-B640A72055A1}">
          <x14:formula1>
            <xm:f>Categories!$I$3:$I$5</xm:f>
          </x14:formula1>
          <xm:sqref>H7</xm:sqref>
        </x14:dataValidation>
        <x14:dataValidation type="list" allowBlank="1" showInputMessage="1" showErrorMessage="1" xr:uid="{50C90328-FF26-4D3E-8995-F38A207A90C2}">
          <x14:formula1>
            <xm:f>Categories!$K$3:$K$14</xm:f>
          </x14:formula1>
          <xm:sqref>G7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E4EF4-2200-482B-9D20-603818EDA2CE}">
  <dimension ref="B2:K34"/>
  <sheetViews>
    <sheetView zoomScaleNormal="100" workbookViewId="0">
      <pane xSplit="5" ySplit="5" topLeftCell="F6" activePane="bottomRight" state="frozen"/>
      <selection pane="topRight" activeCell="F1" sqref="F1"/>
      <selection pane="bottomLeft" activeCell="A6" sqref="A6"/>
      <selection pane="bottomRight" activeCell="C20" sqref="C20"/>
    </sheetView>
  </sheetViews>
  <sheetFormatPr defaultColWidth="8.7109375" defaultRowHeight="13.5" x14ac:dyDescent="0.25"/>
  <cols>
    <col min="1" max="1" width="12" style="2" customWidth="1"/>
    <col min="2" max="2" width="36.140625" style="2" bestFit="1" customWidth="1"/>
    <col min="3" max="3" width="9.28515625" style="3" bestFit="1" customWidth="1"/>
    <col min="4" max="4" width="9.140625" style="3" customWidth="1"/>
    <col min="5" max="5" width="20.140625" style="3" bestFit="1" customWidth="1"/>
    <col min="6" max="6" width="19.42578125" style="3" bestFit="1" customWidth="1"/>
    <col min="7" max="7" width="21.28515625" style="3" bestFit="1" customWidth="1"/>
    <col min="8" max="8" width="14.140625" style="2" bestFit="1" customWidth="1"/>
    <col min="9" max="9" width="24.5703125" style="2" bestFit="1" customWidth="1"/>
    <col min="10" max="16384" width="8.7109375" style="2"/>
  </cols>
  <sheetData>
    <row r="2" spans="2:11" ht="21" x14ac:dyDescent="0.25">
      <c r="B2" s="78" t="s">
        <v>97</v>
      </c>
      <c r="C2" s="78"/>
      <c r="D2" s="78"/>
      <c r="E2" s="78"/>
      <c r="F2" s="78"/>
      <c r="G2" s="78"/>
      <c r="H2" s="78"/>
      <c r="I2" s="78"/>
      <c r="J2" s="78"/>
      <c r="K2" s="78"/>
    </row>
    <row r="3" spans="2:11" ht="24" x14ac:dyDescent="0.4">
      <c r="D3" s="16"/>
      <c r="E3" s="16"/>
    </row>
    <row r="5" spans="2:11" x14ac:dyDescent="0.25">
      <c r="B5" s="9" t="s">
        <v>134</v>
      </c>
      <c r="C5" s="9" t="s">
        <v>89</v>
      </c>
      <c r="D5" s="9" t="s">
        <v>90</v>
      </c>
      <c r="E5" s="9" t="s">
        <v>107</v>
      </c>
      <c r="F5" s="9" t="s">
        <v>77</v>
      </c>
      <c r="G5" s="9" t="s">
        <v>74</v>
      </c>
      <c r="H5" s="9" t="s">
        <v>75</v>
      </c>
      <c r="I5" s="9" t="s">
        <v>76</v>
      </c>
      <c r="J5" s="9" t="s">
        <v>66</v>
      </c>
      <c r="K5" s="9" t="s">
        <v>68</v>
      </c>
    </row>
    <row r="6" spans="2:11" x14ac:dyDescent="0.25">
      <c r="B6" s="1" t="s">
        <v>0</v>
      </c>
      <c r="C6" s="17">
        <v>1</v>
      </c>
      <c r="D6" s="17">
        <v>3</v>
      </c>
      <c r="E6" s="17"/>
      <c r="F6" s="5" t="s">
        <v>147</v>
      </c>
      <c r="G6" s="5"/>
      <c r="H6" s="8" t="s">
        <v>79</v>
      </c>
      <c r="I6" s="8" t="s">
        <v>57</v>
      </c>
      <c r="J6" s="8"/>
      <c r="K6" s="8"/>
    </row>
    <row r="7" spans="2:11" x14ac:dyDescent="0.25">
      <c r="B7" s="1" t="s">
        <v>1</v>
      </c>
      <c r="C7" s="17">
        <v>1</v>
      </c>
      <c r="D7" s="17">
        <v>5</v>
      </c>
      <c r="E7" s="17"/>
      <c r="F7" s="5" t="s">
        <v>146</v>
      </c>
      <c r="G7" s="5"/>
      <c r="H7" s="8" t="s">
        <v>70</v>
      </c>
      <c r="I7" s="8" t="s">
        <v>57</v>
      </c>
      <c r="J7" s="8"/>
      <c r="K7" s="8"/>
    </row>
    <row r="8" spans="2:11" x14ac:dyDescent="0.25">
      <c r="B8" s="1" t="s">
        <v>2</v>
      </c>
      <c r="C8" s="17">
        <v>1</v>
      </c>
      <c r="D8" s="17">
        <v>4</v>
      </c>
      <c r="E8" s="17"/>
      <c r="F8" s="5" t="s">
        <v>176</v>
      </c>
      <c r="G8" s="5"/>
      <c r="H8" s="8" t="s">
        <v>79</v>
      </c>
      <c r="I8" s="8" t="s">
        <v>57</v>
      </c>
      <c r="J8" s="8"/>
      <c r="K8" s="8"/>
    </row>
    <row r="9" spans="2:11" x14ac:dyDescent="0.25">
      <c r="B9" s="1" t="s">
        <v>12</v>
      </c>
      <c r="C9" s="17">
        <v>1</v>
      </c>
      <c r="D9" s="17">
        <v>6</v>
      </c>
      <c r="E9" s="17"/>
      <c r="F9" s="5" t="s">
        <v>148</v>
      </c>
      <c r="G9" s="5"/>
      <c r="H9" s="8" t="s">
        <v>79</v>
      </c>
      <c r="I9" s="8" t="s">
        <v>57</v>
      </c>
      <c r="J9" s="8"/>
      <c r="K9" s="8"/>
    </row>
    <row r="10" spans="2:11" x14ac:dyDescent="0.25">
      <c r="B10" s="1" t="s">
        <v>15</v>
      </c>
      <c r="C10" s="17">
        <v>4</v>
      </c>
      <c r="D10" s="17">
        <v>6</v>
      </c>
      <c r="E10" s="17"/>
      <c r="F10" s="5" t="s">
        <v>175</v>
      </c>
      <c r="G10" s="5"/>
      <c r="H10" s="8" t="s">
        <v>79</v>
      </c>
      <c r="I10" s="8" t="s">
        <v>57</v>
      </c>
      <c r="J10" s="8"/>
      <c r="K10" s="8"/>
    </row>
    <row r="11" spans="2:11" x14ac:dyDescent="0.25">
      <c r="B11" s="1" t="s">
        <v>17</v>
      </c>
      <c r="C11" s="17">
        <v>2</v>
      </c>
      <c r="D11" s="17">
        <v>5</v>
      </c>
      <c r="E11" s="17"/>
      <c r="F11" s="5" t="s">
        <v>175</v>
      </c>
      <c r="G11" s="5"/>
      <c r="H11" s="8" t="s">
        <v>79</v>
      </c>
      <c r="I11" s="8" t="s">
        <v>57</v>
      </c>
      <c r="J11" s="8"/>
      <c r="K11" s="8"/>
    </row>
    <row r="12" spans="2:11" x14ac:dyDescent="0.25">
      <c r="B12" s="1" t="s">
        <v>21</v>
      </c>
      <c r="C12" s="17">
        <v>3</v>
      </c>
      <c r="D12" s="17">
        <v>5</v>
      </c>
      <c r="E12" s="17"/>
      <c r="F12" s="5" t="s">
        <v>178</v>
      </c>
      <c r="G12" s="5"/>
      <c r="H12" s="8" t="s">
        <v>79</v>
      </c>
      <c r="I12" s="8" t="s">
        <v>57</v>
      </c>
      <c r="J12" s="8"/>
      <c r="K12" s="8"/>
    </row>
    <row r="13" spans="2:11" x14ac:dyDescent="0.25">
      <c r="B13" s="1" t="s">
        <v>25</v>
      </c>
      <c r="C13" s="17">
        <v>5</v>
      </c>
      <c r="D13" s="17">
        <v>6</v>
      </c>
      <c r="E13" s="17"/>
      <c r="F13" s="5" t="s">
        <v>180</v>
      </c>
      <c r="G13" s="5"/>
      <c r="H13" s="8" t="s">
        <v>79</v>
      </c>
      <c r="I13" s="8" t="s">
        <v>57</v>
      </c>
      <c r="J13" s="8"/>
      <c r="K13" s="8"/>
    </row>
    <row r="14" spans="2:11" x14ac:dyDescent="0.25">
      <c r="B14" s="1" t="s">
        <v>29</v>
      </c>
      <c r="C14" s="17">
        <v>2</v>
      </c>
      <c r="D14" s="17">
        <v>5</v>
      </c>
      <c r="E14" s="17"/>
      <c r="F14" s="5" t="s">
        <v>175</v>
      </c>
      <c r="G14" s="5"/>
      <c r="H14" s="8" t="s">
        <v>79</v>
      </c>
      <c r="I14" s="8" t="s">
        <v>57</v>
      </c>
      <c r="J14" s="8"/>
      <c r="K14" s="8"/>
    </row>
    <row r="15" spans="2:11" x14ac:dyDescent="0.25">
      <c r="B15" s="1" t="s">
        <v>32</v>
      </c>
      <c r="C15" s="17">
        <v>1</v>
      </c>
      <c r="D15" s="17">
        <v>5</v>
      </c>
      <c r="E15" s="17"/>
      <c r="F15" s="5" t="s">
        <v>181</v>
      </c>
      <c r="G15" s="5"/>
      <c r="H15" s="8" t="s">
        <v>79</v>
      </c>
      <c r="I15" s="8" t="s">
        <v>57</v>
      </c>
      <c r="J15" s="8"/>
      <c r="K15" s="8"/>
    </row>
    <row r="16" spans="2:11" x14ac:dyDescent="0.25">
      <c r="B16" s="1" t="s">
        <v>35</v>
      </c>
      <c r="C16" s="17">
        <v>1</v>
      </c>
      <c r="D16" s="17">
        <v>6</v>
      </c>
      <c r="E16" s="17"/>
      <c r="F16" s="5" t="s">
        <v>178</v>
      </c>
      <c r="G16" s="5"/>
      <c r="H16" s="8" t="s">
        <v>79</v>
      </c>
      <c r="I16" s="8" t="s">
        <v>57</v>
      </c>
      <c r="J16" s="8"/>
      <c r="K16" s="8"/>
    </row>
    <row r="17" spans="2:11" x14ac:dyDescent="0.25">
      <c r="B17" s="1" t="s">
        <v>39</v>
      </c>
      <c r="C17" s="17">
        <v>3</v>
      </c>
      <c r="D17" s="17">
        <v>7</v>
      </c>
      <c r="E17" s="17"/>
      <c r="F17" s="5"/>
      <c r="G17" s="5"/>
      <c r="H17" s="8" t="s">
        <v>79</v>
      </c>
      <c r="I17" s="8" t="s">
        <v>57</v>
      </c>
      <c r="J17" s="8"/>
      <c r="K17" s="8"/>
    </row>
    <row r="18" spans="2:11" x14ac:dyDescent="0.25">
      <c r="B18" s="1" t="s">
        <v>41</v>
      </c>
      <c r="C18" s="17">
        <v>1</v>
      </c>
      <c r="D18" s="17">
        <v>6</v>
      </c>
      <c r="E18" s="17"/>
      <c r="F18" s="5"/>
      <c r="G18" s="5"/>
      <c r="H18" s="8" t="s">
        <v>79</v>
      </c>
      <c r="I18" s="8" t="s">
        <v>57</v>
      </c>
      <c r="J18" s="8"/>
      <c r="K18" s="8"/>
    </row>
    <row r="19" spans="2:11" x14ac:dyDescent="0.25">
      <c r="B19" s="1" t="s">
        <v>43</v>
      </c>
      <c r="C19" s="17">
        <v>6</v>
      </c>
      <c r="D19" s="17">
        <v>7</v>
      </c>
      <c r="E19" s="17"/>
      <c r="F19" s="5"/>
      <c r="G19" s="5"/>
      <c r="H19" s="8" t="s">
        <v>79</v>
      </c>
      <c r="I19" s="8" t="s">
        <v>57</v>
      </c>
      <c r="J19" s="8"/>
      <c r="K19" s="8"/>
    </row>
    <row r="20" spans="2:11" x14ac:dyDescent="0.25">
      <c r="B20" s="1" t="s">
        <v>47</v>
      </c>
      <c r="C20" s="17">
        <v>8</v>
      </c>
      <c r="D20" s="17">
        <v>8</v>
      </c>
      <c r="E20" s="17"/>
      <c r="F20" s="5"/>
      <c r="G20" s="5"/>
      <c r="H20" s="8" t="s">
        <v>79</v>
      </c>
      <c r="I20" s="8" t="s">
        <v>57</v>
      </c>
      <c r="J20" s="8"/>
      <c r="K20" s="8"/>
    </row>
    <row r="21" spans="2:11" x14ac:dyDescent="0.25">
      <c r="B21" s="1" t="s">
        <v>171</v>
      </c>
      <c r="C21" s="17">
        <v>6</v>
      </c>
      <c r="D21" s="17">
        <v>9</v>
      </c>
      <c r="E21" s="17"/>
      <c r="F21" s="5"/>
      <c r="G21" s="5"/>
      <c r="H21" s="8" t="s">
        <v>79</v>
      </c>
      <c r="I21" s="8" t="s">
        <v>81</v>
      </c>
      <c r="J21" s="8"/>
      <c r="K21" s="8"/>
    </row>
    <row r="22" spans="2:11" x14ac:dyDescent="0.25">
      <c r="B22" s="1" t="s">
        <v>172</v>
      </c>
      <c r="C22" s="17">
        <v>10</v>
      </c>
      <c r="D22" s="17">
        <v>10</v>
      </c>
      <c r="E22" s="17"/>
      <c r="F22" s="5"/>
      <c r="G22" s="5"/>
      <c r="H22" s="8" t="s">
        <v>79</v>
      </c>
      <c r="I22" s="8" t="s">
        <v>81</v>
      </c>
      <c r="J22" s="8" t="s">
        <v>135</v>
      </c>
      <c r="K22" s="8"/>
    </row>
    <row r="23" spans="2:11" x14ac:dyDescent="0.25">
      <c r="B23" s="1" t="s">
        <v>159</v>
      </c>
      <c r="C23" s="17">
        <v>20</v>
      </c>
      <c r="D23" s="17">
        <v>20</v>
      </c>
      <c r="E23" s="17"/>
      <c r="F23" s="5"/>
      <c r="G23" s="5"/>
      <c r="H23" s="8" t="s">
        <v>79</v>
      </c>
      <c r="I23" s="8" t="s">
        <v>80</v>
      </c>
      <c r="J23" s="8" t="s">
        <v>69</v>
      </c>
      <c r="K23" s="8"/>
    </row>
    <row r="24" spans="2:11" x14ac:dyDescent="0.25">
      <c r="B24" s="1" t="s">
        <v>150</v>
      </c>
      <c r="C24" s="17">
        <v>15</v>
      </c>
      <c r="D24" s="17">
        <v>15</v>
      </c>
      <c r="E24" s="17"/>
      <c r="F24" s="5"/>
      <c r="G24" s="5"/>
      <c r="H24" s="8" t="s">
        <v>79</v>
      </c>
      <c r="I24" s="8" t="s">
        <v>81</v>
      </c>
      <c r="J24" s="8" t="s">
        <v>135</v>
      </c>
      <c r="K24" s="8"/>
    </row>
    <row r="25" spans="2:11" x14ac:dyDescent="0.25">
      <c r="B25" s="1" t="s">
        <v>183</v>
      </c>
      <c r="C25" s="17">
        <v>13</v>
      </c>
      <c r="D25" s="17">
        <v>13</v>
      </c>
      <c r="E25" s="17"/>
      <c r="F25" s="5"/>
      <c r="G25" s="5"/>
      <c r="H25" s="8" t="s">
        <v>79</v>
      </c>
      <c r="I25" s="8" t="s">
        <v>81</v>
      </c>
      <c r="J25" s="8"/>
      <c r="K25" s="8"/>
    </row>
    <row r="26" spans="2:11" x14ac:dyDescent="0.25">
      <c r="B26" s="1" t="s">
        <v>182</v>
      </c>
      <c r="C26" s="17">
        <v>11</v>
      </c>
      <c r="D26" s="17">
        <v>11</v>
      </c>
      <c r="E26" s="17"/>
      <c r="F26" s="5"/>
      <c r="G26" s="5"/>
      <c r="H26" s="8" t="s">
        <v>79</v>
      </c>
      <c r="I26" s="8" t="s">
        <v>80</v>
      </c>
      <c r="J26" s="8"/>
      <c r="K26" s="8"/>
    </row>
    <row r="27" spans="2:11" x14ac:dyDescent="0.25">
      <c r="B27" s="1" t="s">
        <v>157</v>
      </c>
      <c r="C27" s="17">
        <v>12</v>
      </c>
      <c r="D27" s="17">
        <v>12</v>
      </c>
      <c r="E27" s="17"/>
      <c r="F27" s="5"/>
      <c r="G27" s="5"/>
      <c r="H27" s="8" t="s">
        <v>79</v>
      </c>
      <c r="I27" s="8" t="s">
        <v>81</v>
      </c>
      <c r="J27" s="8"/>
      <c r="K27" s="8"/>
    </row>
    <row r="28" spans="2:11" x14ac:dyDescent="0.25">
      <c r="B28" s="1" t="s">
        <v>105</v>
      </c>
      <c r="C28" s="17" t="s">
        <v>108</v>
      </c>
      <c r="D28" s="17" t="s">
        <v>108</v>
      </c>
      <c r="E28" s="18">
        <v>45845</v>
      </c>
      <c r="F28" s="5"/>
      <c r="G28" s="5"/>
      <c r="H28" s="8" t="s">
        <v>70</v>
      </c>
      <c r="I28" s="8" t="s">
        <v>61</v>
      </c>
      <c r="J28" s="8"/>
      <c r="K28" s="8"/>
    </row>
    <row r="29" spans="2:11" x14ac:dyDescent="0.25">
      <c r="B29" s="1" t="s">
        <v>106</v>
      </c>
      <c r="C29" s="17" t="s">
        <v>108</v>
      </c>
      <c r="D29" s="17" t="s">
        <v>108</v>
      </c>
      <c r="E29" s="18" t="s">
        <v>111</v>
      </c>
      <c r="F29" s="5"/>
      <c r="G29" s="5"/>
      <c r="H29" s="8" t="s">
        <v>70</v>
      </c>
      <c r="I29" s="8" t="s">
        <v>61</v>
      </c>
      <c r="J29" s="8"/>
      <c r="K29" s="8"/>
    </row>
    <row r="30" spans="2:11" x14ac:dyDescent="0.25">
      <c r="B30" s="1" t="s">
        <v>109</v>
      </c>
      <c r="C30" s="17" t="s">
        <v>108</v>
      </c>
      <c r="D30" s="17" t="s">
        <v>108</v>
      </c>
      <c r="E30" s="18">
        <v>45856</v>
      </c>
      <c r="F30" s="5"/>
      <c r="G30" s="5"/>
      <c r="H30" s="8" t="s">
        <v>70</v>
      </c>
      <c r="I30" s="8" t="s">
        <v>61</v>
      </c>
      <c r="J30" s="8"/>
      <c r="K30" s="8"/>
    </row>
    <row r="31" spans="2:11" x14ac:dyDescent="0.25">
      <c r="B31" s="1" t="s">
        <v>112</v>
      </c>
      <c r="C31" s="17" t="s">
        <v>108</v>
      </c>
      <c r="D31" s="17" t="s">
        <v>108</v>
      </c>
      <c r="E31" s="18">
        <v>45852</v>
      </c>
      <c r="F31" s="5"/>
      <c r="G31" s="5"/>
      <c r="H31" s="8" t="s">
        <v>70</v>
      </c>
      <c r="I31" s="8" t="s">
        <v>59</v>
      </c>
      <c r="J31" s="8"/>
      <c r="K31" s="8"/>
    </row>
    <row r="32" spans="2:11" x14ac:dyDescent="0.25">
      <c r="B32" s="1" t="s">
        <v>138</v>
      </c>
      <c r="C32" s="17" t="s">
        <v>108</v>
      </c>
      <c r="D32" s="17" t="s">
        <v>108</v>
      </c>
      <c r="E32" s="18">
        <v>45860</v>
      </c>
      <c r="F32" s="5"/>
      <c r="G32" s="5"/>
      <c r="H32" s="8" t="s">
        <v>70</v>
      </c>
      <c r="I32" s="8" t="s">
        <v>59</v>
      </c>
      <c r="J32" s="8"/>
      <c r="K32" s="8"/>
    </row>
    <row r="33" spans="2:11" x14ac:dyDescent="0.25">
      <c r="B33" s="1" t="s">
        <v>139</v>
      </c>
      <c r="C33" s="17" t="s">
        <v>108</v>
      </c>
      <c r="D33" s="17" t="s">
        <v>108</v>
      </c>
      <c r="E33" s="18">
        <v>45866</v>
      </c>
      <c r="F33" s="5"/>
      <c r="G33" s="5"/>
      <c r="H33" s="8" t="s">
        <v>70</v>
      </c>
      <c r="I33" s="8" t="s">
        <v>59</v>
      </c>
      <c r="J33" s="8"/>
      <c r="K33" s="8"/>
    </row>
    <row r="34" spans="2:11" x14ac:dyDescent="0.25">
      <c r="B34" s="1" t="s">
        <v>140</v>
      </c>
      <c r="C34" s="17" t="s">
        <v>108</v>
      </c>
      <c r="D34" s="17" t="s">
        <v>108</v>
      </c>
      <c r="E34" s="18">
        <v>45840</v>
      </c>
      <c r="F34" s="5"/>
      <c r="G34" s="5"/>
      <c r="H34" s="8" t="s">
        <v>70</v>
      </c>
      <c r="I34" s="8" t="s">
        <v>59</v>
      </c>
      <c r="J34" s="8"/>
      <c r="K34" s="8"/>
    </row>
  </sheetData>
  <autoFilter ref="B5:J27" xr:uid="{504E4EF4-2200-482B-9D20-603818EDA2CE}"/>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6F206E4A-E554-41A2-800A-308FF333423F}">
          <x14:formula1>
            <xm:f>Categories!$A$3:$A$5</xm:f>
          </x14:formula1>
          <xm:sqref>J6:J27</xm:sqref>
        </x14:dataValidation>
        <x14:dataValidation type="list" allowBlank="1" showInputMessage="1" showErrorMessage="1" xr:uid="{771D0CB3-267B-44F1-BB66-3A9C71353C04}">
          <x14:formula1>
            <xm:f>Categories!$K$9:$K$14</xm:f>
          </x14:formula1>
          <xm:sqref>D3:E3</xm:sqref>
        </x14:dataValidation>
        <x14:dataValidation type="list" allowBlank="1" showInputMessage="1" showErrorMessage="1" xr:uid="{09761E35-18E9-4848-92D3-65FA2CE194CB}">
          <x14:formula1>
            <xm:f>Categories!$M$3:$M$12</xm:f>
          </x14:formula1>
          <xm:sqref>F6:F34</xm:sqref>
        </x14:dataValidation>
        <x14:dataValidation type="list" allowBlank="1" showInputMessage="1" showErrorMessage="1" xr:uid="{937D3F44-157F-4295-8F73-A4030A5718B7}">
          <x14:formula1>
            <xm:f>Categories!$C$3:$C$4</xm:f>
          </x14:formula1>
          <xm:sqref>H6:H34</xm:sqref>
        </x14:dataValidation>
        <x14:dataValidation type="list" allowBlank="1" showInputMessage="1" showErrorMessage="1" xr:uid="{EC5DABE7-A57D-4D06-B502-4507BD099743}">
          <x14:formula1>
            <xm:f>Categories!$G$3:$G$11</xm:f>
          </x14:formula1>
          <xm:sqref>I6:I34</xm:sqref>
        </x14:dataValidation>
        <x14:dataValidation type="list" allowBlank="1" showInputMessage="1" showErrorMessage="1" xr:uid="{3B16C881-C9A8-4F80-A3F6-18702C90E3E7}">
          <x14:formula1>
            <xm:f>Categories!$E$3:$E$6</xm:f>
          </x14:formula1>
          <xm:sqref>K6:K27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1E72-3B5D-45AB-8822-D54725181FEA}">
  <dimension ref="B2:U63"/>
  <sheetViews>
    <sheetView zoomScale="90" zoomScaleNormal="90" workbookViewId="0">
      <pane xSplit="6" ySplit="5" topLeftCell="G6" activePane="bottomRight" state="frozen"/>
      <selection pane="topRight" activeCell="F1" sqref="F1"/>
      <selection pane="bottomLeft" activeCell="A6" sqref="A6"/>
      <selection pane="bottomRight" activeCell="C42" sqref="C42"/>
    </sheetView>
  </sheetViews>
  <sheetFormatPr defaultColWidth="8.7109375" defaultRowHeight="13.5" x14ac:dyDescent="0.25"/>
  <cols>
    <col min="1" max="1" width="5.42578125" style="20" customWidth="1"/>
    <col min="2" max="2" width="36.85546875" style="20" customWidth="1"/>
    <col min="3" max="3" width="73.140625" style="69" bestFit="1" customWidth="1"/>
    <col min="4" max="4" width="9.85546875" style="25" bestFit="1" customWidth="1"/>
    <col min="5" max="5" width="13.28515625" style="25" bestFit="1" customWidth="1"/>
    <col min="6" max="6" width="20.85546875" style="25" bestFit="1" customWidth="1"/>
    <col min="7" max="7" width="15.7109375" style="25" bestFit="1" customWidth="1"/>
    <col min="8" max="8" width="14.140625" style="25" bestFit="1" customWidth="1"/>
    <col min="9" max="17" width="19.140625" style="25" bestFit="1" customWidth="1"/>
    <col min="18" max="18" width="14.5703125" style="20" bestFit="1" customWidth="1"/>
    <col min="19" max="19" width="25.7109375" style="20" bestFit="1" customWidth="1"/>
    <col min="20" max="20" width="12" style="20" bestFit="1" customWidth="1"/>
    <col min="21" max="21" width="11.28515625" style="20" bestFit="1" customWidth="1"/>
    <col min="22" max="16384" width="8.7109375" style="20"/>
  </cols>
  <sheetData>
    <row r="2" spans="2:21" ht="21" x14ac:dyDescent="0.25">
      <c r="B2" s="78" t="s">
        <v>143</v>
      </c>
      <c r="C2" s="78"/>
      <c r="D2" s="78"/>
      <c r="E2" s="78"/>
      <c r="F2" s="78"/>
      <c r="G2" s="78"/>
      <c r="H2" s="78"/>
      <c r="I2" s="78"/>
      <c r="J2" s="64"/>
      <c r="K2" s="64"/>
      <c r="L2" s="64"/>
      <c r="M2" s="64"/>
      <c r="N2" s="64"/>
      <c r="O2" s="64"/>
      <c r="P2" s="64"/>
      <c r="Q2" s="64"/>
      <c r="R2" s="78"/>
      <c r="S2" s="78"/>
      <c r="T2" s="78"/>
      <c r="U2" s="78"/>
    </row>
    <row r="3" spans="2:21" ht="24" x14ac:dyDescent="0.25">
      <c r="E3" s="70"/>
      <c r="F3" s="70"/>
    </row>
    <row r="4" spans="2:21" x14ac:dyDescent="0.25">
      <c r="I4" s="100" t="s">
        <v>136</v>
      </c>
      <c r="J4" s="100"/>
      <c r="K4" s="100"/>
      <c r="L4" s="100"/>
      <c r="M4" s="100"/>
      <c r="N4" s="100"/>
      <c r="O4" s="100"/>
      <c r="P4" s="100"/>
      <c r="Q4" s="100"/>
    </row>
    <row r="5" spans="2:21" x14ac:dyDescent="0.25">
      <c r="B5" s="72" t="s">
        <v>134</v>
      </c>
      <c r="C5" s="71" t="s">
        <v>129</v>
      </c>
      <c r="D5" s="72" t="s">
        <v>89</v>
      </c>
      <c r="E5" s="72" t="s">
        <v>90</v>
      </c>
      <c r="F5" s="72" t="s">
        <v>107</v>
      </c>
      <c r="G5" s="72" t="s">
        <v>77</v>
      </c>
      <c r="H5" s="72" t="s">
        <v>74</v>
      </c>
      <c r="I5" s="72" t="s">
        <v>162</v>
      </c>
      <c r="J5" s="72" t="s">
        <v>163</v>
      </c>
      <c r="K5" s="72" t="s">
        <v>164</v>
      </c>
      <c r="L5" s="72" t="s">
        <v>165</v>
      </c>
      <c r="M5" s="72" t="s">
        <v>166</v>
      </c>
      <c r="N5" s="72" t="s">
        <v>167</v>
      </c>
      <c r="O5" s="72" t="s">
        <v>168</v>
      </c>
      <c r="P5" s="72" t="s">
        <v>169</v>
      </c>
      <c r="Q5" s="72" t="s">
        <v>170</v>
      </c>
      <c r="R5" s="72" t="s">
        <v>75</v>
      </c>
      <c r="S5" s="72" t="s">
        <v>76</v>
      </c>
      <c r="T5" s="72" t="s">
        <v>66</v>
      </c>
      <c r="U5" s="72" t="s">
        <v>68</v>
      </c>
    </row>
    <row r="6" spans="2:21" x14ac:dyDescent="0.25">
      <c r="B6" s="73" t="s">
        <v>0</v>
      </c>
      <c r="C6" s="74" t="str">
        <f>Table3[[#This Row],[Commitments]]</f>
        <v>Sales close</v>
      </c>
      <c r="D6" s="75">
        <v>1</v>
      </c>
      <c r="E6" s="75">
        <v>3</v>
      </c>
      <c r="F6" s="75"/>
      <c r="G6" s="75"/>
      <c r="H6" s="75"/>
      <c r="I6" s="75" t="s">
        <v>128</v>
      </c>
      <c r="J6" s="75" t="s">
        <v>128</v>
      </c>
      <c r="K6" s="75" t="s">
        <v>128</v>
      </c>
      <c r="L6" s="75" t="s">
        <v>128</v>
      </c>
      <c r="M6" s="75" t="s">
        <v>128</v>
      </c>
      <c r="N6" s="75" t="s">
        <v>128</v>
      </c>
      <c r="O6" s="75" t="s">
        <v>128</v>
      </c>
      <c r="P6" s="75" t="s">
        <v>128</v>
      </c>
      <c r="Q6" s="75" t="s">
        <v>128</v>
      </c>
      <c r="R6" s="79" t="s">
        <v>79</v>
      </c>
      <c r="S6" s="79" t="s">
        <v>57</v>
      </c>
      <c r="T6" s="79"/>
      <c r="U6" s="79"/>
    </row>
    <row r="7" spans="2:21" x14ac:dyDescent="0.25">
      <c r="B7" s="73" t="s">
        <v>1</v>
      </c>
      <c r="C7" s="74" t="s">
        <v>3</v>
      </c>
      <c r="D7" s="75">
        <v>1</v>
      </c>
      <c r="E7" s="75">
        <v>1</v>
      </c>
      <c r="F7" s="75"/>
      <c r="G7" s="75"/>
      <c r="H7" s="75"/>
      <c r="I7" s="75" t="s">
        <v>128</v>
      </c>
      <c r="J7" s="75" t="s">
        <v>128</v>
      </c>
      <c r="K7" s="75" t="s">
        <v>128</v>
      </c>
      <c r="L7" s="75" t="s">
        <v>128</v>
      </c>
      <c r="M7" s="75" t="s">
        <v>127</v>
      </c>
      <c r="N7" s="75" t="s">
        <v>127</v>
      </c>
      <c r="O7" s="75" t="s">
        <v>128</v>
      </c>
      <c r="P7" s="75" t="s">
        <v>128</v>
      </c>
      <c r="Q7" s="75" t="s">
        <v>128</v>
      </c>
      <c r="R7" s="79" t="s">
        <v>79</v>
      </c>
      <c r="S7" s="79" t="s">
        <v>57</v>
      </c>
      <c r="T7" s="79"/>
      <c r="U7" s="79"/>
    </row>
    <row r="8" spans="2:21" x14ac:dyDescent="0.25">
      <c r="B8" s="73" t="s">
        <v>1</v>
      </c>
      <c r="C8" s="74" t="s">
        <v>4</v>
      </c>
      <c r="D8" s="75">
        <v>4</v>
      </c>
      <c r="E8" s="75">
        <v>4</v>
      </c>
      <c r="F8" s="80"/>
      <c r="G8" s="75"/>
      <c r="H8" s="75"/>
      <c r="I8" s="75" t="s">
        <v>127</v>
      </c>
      <c r="J8" s="75" t="s">
        <v>128</v>
      </c>
      <c r="K8" s="75" t="s">
        <v>128</v>
      </c>
      <c r="L8" s="75" t="s">
        <v>128</v>
      </c>
      <c r="M8" s="75" t="s">
        <v>127</v>
      </c>
      <c r="N8" s="75" t="s">
        <v>127</v>
      </c>
      <c r="O8" s="75" t="s">
        <v>128</v>
      </c>
      <c r="P8" s="75" t="s">
        <v>128</v>
      </c>
      <c r="Q8" s="75" t="s">
        <v>128</v>
      </c>
      <c r="R8" s="79" t="s">
        <v>79</v>
      </c>
      <c r="S8" s="79"/>
      <c r="T8" s="79"/>
      <c r="U8" s="79"/>
    </row>
    <row r="9" spans="2:21" x14ac:dyDescent="0.25">
      <c r="B9" s="73" t="s">
        <v>1</v>
      </c>
      <c r="C9" s="74" t="s">
        <v>5</v>
      </c>
      <c r="D9" s="75">
        <v>4</v>
      </c>
      <c r="E9" s="75">
        <v>4</v>
      </c>
      <c r="F9" s="80"/>
      <c r="G9" s="75"/>
      <c r="H9" s="75"/>
      <c r="I9" s="75" t="s">
        <v>128</v>
      </c>
      <c r="J9" s="75" t="s">
        <v>128</v>
      </c>
      <c r="K9" s="75" t="s">
        <v>128</v>
      </c>
      <c r="L9" s="75" t="s">
        <v>128</v>
      </c>
      <c r="M9" s="75" t="s">
        <v>127</v>
      </c>
      <c r="N9" s="75" t="s">
        <v>127</v>
      </c>
      <c r="O9" s="75" t="s">
        <v>128</v>
      </c>
      <c r="P9" s="75" t="s">
        <v>128</v>
      </c>
      <c r="Q9" s="75" t="s">
        <v>128</v>
      </c>
      <c r="R9" s="79" t="s">
        <v>79</v>
      </c>
      <c r="S9" s="79"/>
      <c r="T9" s="79"/>
      <c r="U9" s="79"/>
    </row>
    <row r="10" spans="2:21" x14ac:dyDescent="0.25">
      <c r="B10" s="73" t="s">
        <v>1</v>
      </c>
      <c r="C10" s="74" t="s">
        <v>6</v>
      </c>
      <c r="D10" s="75">
        <v>5</v>
      </c>
      <c r="E10" s="75">
        <v>5</v>
      </c>
      <c r="F10" s="80"/>
      <c r="G10" s="75"/>
      <c r="H10" s="75"/>
      <c r="I10" s="75" t="s">
        <v>127</v>
      </c>
      <c r="J10" s="75" t="s">
        <v>128</v>
      </c>
      <c r="K10" s="75" t="s">
        <v>128</v>
      </c>
      <c r="L10" s="75" t="s">
        <v>127</v>
      </c>
      <c r="M10" s="75" t="s">
        <v>127</v>
      </c>
      <c r="N10" s="75" t="s">
        <v>127</v>
      </c>
      <c r="O10" s="75" t="s">
        <v>128</v>
      </c>
      <c r="P10" s="75" t="s">
        <v>128</v>
      </c>
      <c r="Q10" s="75" t="s">
        <v>128</v>
      </c>
      <c r="R10" s="79" t="s">
        <v>79</v>
      </c>
      <c r="S10" s="79"/>
      <c r="T10" s="79"/>
      <c r="U10" s="79"/>
    </row>
    <row r="11" spans="2:21" x14ac:dyDescent="0.25">
      <c r="B11" s="73" t="s">
        <v>1</v>
      </c>
      <c r="C11" s="74" t="s">
        <v>7</v>
      </c>
      <c r="D11" s="75">
        <v>5</v>
      </c>
      <c r="E11" s="75">
        <v>5</v>
      </c>
      <c r="F11" s="80"/>
      <c r="G11" s="75"/>
      <c r="H11" s="75"/>
      <c r="I11" s="75" t="s">
        <v>127</v>
      </c>
      <c r="J11" s="75" t="s">
        <v>128</v>
      </c>
      <c r="K11" s="75" t="s">
        <v>128</v>
      </c>
      <c r="L11" s="75" t="s">
        <v>127</v>
      </c>
      <c r="M11" s="75" t="s">
        <v>127</v>
      </c>
      <c r="N11" s="75" t="s">
        <v>127</v>
      </c>
      <c r="O11" s="75" t="s">
        <v>128</v>
      </c>
      <c r="P11" s="75" t="s">
        <v>128</v>
      </c>
      <c r="Q11" s="75" t="s">
        <v>128</v>
      </c>
      <c r="R11" s="79" t="s">
        <v>79</v>
      </c>
      <c r="S11" s="79"/>
      <c r="T11" s="79"/>
      <c r="U11" s="79"/>
    </row>
    <row r="12" spans="2:21" x14ac:dyDescent="0.25">
      <c r="B12" s="73" t="s">
        <v>2</v>
      </c>
      <c r="C12" s="74" t="s">
        <v>8</v>
      </c>
      <c r="D12" s="75">
        <v>1</v>
      </c>
      <c r="E12" s="75">
        <v>1</v>
      </c>
      <c r="F12" s="75"/>
      <c r="G12" s="75"/>
      <c r="H12" s="75"/>
      <c r="I12" s="75" t="s">
        <v>127</v>
      </c>
      <c r="J12" s="75" t="s">
        <v>128</v>
      </c>
      <c r="K12" s="75" t="s">
        <v>128</v>
      </c>
      <c r="L12" s="75" t="s">
        <v>128</v>
      </c>
      <c r="M12" s="75" t="s">
        <v>128</v>
      </c>
      <c r="N12" s="75" t="s">
        <v>128</v>
      </c>
      <c r="O12" s="75" t="s">
        <v>128</v>
      </c>
      <c r="P12" s="75" t="s">
        <v>128</v>
      </c>
      <c r="Q12" s="75" t="s">
        <v>127</v>
      </c>
      <c r="R12" s="79" t="s">
        <v>79</v>
      </c>
      <c r="S12" s="79" t="s">
        <v>2</v>
      </c>
      <c r="T12" s="79" t="s">
        <v>135</v>
      </c>
      <c r="U12" s="79"/>
    </row>
    <row r="13" spans="2:21" x14ac:dyDescent="0.25">
      <c r="B13" s="73" t="s">
        <v>2</v>
      </c>
      <c r="C13" s="74" t="s">
        <v>9</v>
      </c>
      <c r="D13" s="75">
        <v>2</v>
      </c>
      <c r="E13" s="75">
        <v>2</v>
      </c>
      <c r="F13" s="80"/>
      <c r="G13" s="75"/>
      <c r="H13" s="75"/>
      <c r="I13" s="75" t="s">
        <v>128</v>
      </c>
      <c r="J13" s="75" t="s">
        <v>128</v>
      </c>
      <c r="K13" s="75" t="s">
        <v>128</v>
      </c>
      <c r="L13" s="75" t="s">
        <v>128</v>
      </c>
      <c r="M13" s="75" t="s">
        <v>128</v>
      </c>
      <c r="N13" s="75" t="s">
        <v>128</v>
      </c>
      <c r="O13" s="75" t="s">
        <v>128</v>
      </c>
      <c r="P13" s="75" t="s">
        <v>128</v>
      </c>
      <c r="Q13" s="75" t="s">
        <v>127</v>
      </c>
      <c r="R13" s="79" t="s">
        <v>79</v>
      </c>
      <c r="S13" s="79" t="s">
        <v>2</v>
      </c>
      <c r="T13" s="79" t="s">
        <v>135</v>
      </c>
      <c r="U13" s="79"/>
    </row>
    <row r="14" spans="2:21" x14ac:dyDescent="0.25">
      <c r="B14" s="73" t="s">
        <v>2</v>
      </c>
      <c r="C14" s="74" t="s">
        <v>10</v>
      </c>
      <c r="D14" s="75">
        <v>3</v>
      </c>
      <c r="E14" s="75">
        <v>3</v>
      </c>
      <c r="F14" s="80"/>
      <c r="G14" s="75"/>
      <c r="H14" s="75"/>
      <c r="I14" s="75" t="s">
        <v>128</v>
      </c>
      <c r="J14" s="75" t="s">
        <v>128</v>
      </c>
      <c r="K14" s="75" t="s">
        <v>128</v>
      </c>
      <c r="L14" s="75" t="s">
        <v>128</v>
      </c>
      <c r="M14" s="75" t="s">
        <v>128</v>
      </c>
      <c r="N14" s="75" t="s">
        <v>128</v>
      </c>
      <c r="O14" s="75" t="s">
        <v>127</v>
      </c>
      <c r="P14" s="75" t="s">
        <v>128</v>
      </c>
      <c r="Q14" s="75" t="s">
        <v>127</v>
      </c>
      <c r="R14" s="79" t="s">
        <v>79</v>
      </c>
      <c r="S14" s="79" t="s">
        <v>2</v>
      </c>
      <c r="T14" s="79" t="s">
        <v>135</v>
      </c>
      <c r="U14" s="79"/>
    </row>
    <row r="15" spans="2:21" x14ac:dyDescent="0.25">
      <c r="B15" s="73" t="s">
        <v>2</v>
      </c>
      <c r="C15" s="74" t="s">
        <v>11</v>
      </c>
      <c r="D15" s="75">
        <v>4</v>
      </c>
      <c r="E15" s="75">
        <v>4</v>
      </c>
      <c r="F15" s="80"/>
      <c r="G15" s="75"/>
      <c r="H15" s="75"/>
      <c r="I15" s="75" t="s">
        <v>127</v>
      </c>
      <c r="J15" s="75" t="s">
        <v>128</v>
      </c>
      <c r="K15" s="75" t="s">
        <v>128</v>
      </c>
      <c r="L15" s="75" t="s">
        <v>127</v>
      </c>
      <c r="M15" s="75" t="s">
        <v>128</v>
      </c>
      <c r="N15" s="75" t="s">
        <v>128</v>
      </c>
      <c r="O15" s="75" t="s">
        <v>128</v>
      </c>
      <c r="P15" s="75" t="s">
        <v>128</v>
      </c>
      <c r="Q15" s="75" t="s">
        <v>127</v>
      </c>
      <c r="R15" s="79" t="s">
        <v>79</v>
      </c>
      <c r="S15" s="79" t="s">
        <v>2</v>
      </c>
      <c r="T15" s="79" t="s">
        <v>135</v>
      </c>
      <c r="U15" s="79"/>
    </row>
    <row r="16" spans="2:21" x14ac:dyDescent="0.25">
      <c r="B16" s="73" t="s">
        <v>12</v>
      </c>
      <c r="C16" s="74" t="s">
        <v>7</v>
      </c>
      <c r="D16" s="75">
        <v>4</v>
      </c>
      <c r="E16" s="75">
        <v>4</v>
      </c>
      <c r="F16" s="80"/>
      <c r="G16" s="75"/>
      <c r="H16" s="75"/>
      <c r="I16" s="75" t="s">
        <v>127</v>
      </c>
      <c r="J16" s="75" t="s">
        <v>128</v>
      </c>
      <c r="K16" s="75" t="s">
        <v>128</v>
      </c>
      <c r="L16" s="75" t="s">
        <v>127</v>
      </c>
      <c r="M16" s="75" t="s">
        <v>127</v>
      </c>
      <c r="N16" s="75" t="s">
        <v>127</v>
      </c>
      <c r="O16" s="75" t="s">
        <v>128</v>
      </c>
      <c r="P16" s="75" t="s">
        <v>128</v>
      </c>
      <c r="Q16" s="75" t="s">
        <v>128</v>
      </c>
      <c r="R16" s="79" t="s">
        <v>79</v>
      </c>
      <c r="S16" s="79"/>
      <c r="T16" s="79"/>
      <c r="U16" s="79"/>
    </row>
    <row r="17" spans="2:21" ht="27" x14ac:dyDescent="0.25">
      <c r="B17" s="73" t="s">
        <v>12</v>
      </c>
      <c r="C17" s="74" t="s">
        <v>13</v>
      </c>
      <c r="D17" s="75">
        <v>5</v>
      </c>
      <c r="E17" s="75">
        <v>5</v>
      </c>
      <c r="F17" s="80"/>
      <c r="G17" s="75"/>
      <c r="H17" s="75"/>
      <c r="I17" s="75" t="s">
        <v>128</v>
      </c>
      <c r="J17" s="75" t="s">
        <v>128</v>
      </c>
      <c r="K17" s="75" t="s">
        <v>128</v>
      </c>
      <c r="L17" s="75" t="s">
        <v>128</v>
      </c>
      <c r="M17" s="75" t="s">
        <v>127</v>
      </c>
      <c r="N17" s="75" t="s">
        <v>127</v>
      </c>
      <c r="O17" s="75" t="s">
        <v>128</v>
      </c>
      <c r="P17" s="75" t="s">
        <v>128</v>
      </c>
      <c r="Q17" s="75" t="s">
        <v>128</v>
      </c>
      <c r="R17" s="79" t="s">
        <v>79</v>
      </c>
      <c r="S17" s="79"/>
      <c r="T17" s="79"/>
      <c r="U17" s="79"/>
    </row>
    <row r="18" spans="2:21" x14ac:dyDescent="0.25">
      <c r="B18" s="73" t="s">
        <v>12</v>
      </c>
      <c r="C18" s="74" t="s">
        <v>14</v>
      </c>
      <c r="D18" s="75">
        <v>6</v>
      </c>
      <c r="E18" s="75">
        <v>6</v>
      </c>
      <c r="F18" s="80"/>
      <c r="G18" s="75"/>
      <c r="H18" s="75"/>
      <c r="I18" s="75" t="s">
        <v>127</v>
      </c>
      <c r="J18" s="75" t="s">
        <v>128</v>
      </c>
      <c r="K18" s="75" t="s">
        <v>128</v>
      </c>
      <c r="L18" s="75" t="s">
        <v>127</v>
      </c>
      <c r="M18" s="75" t="s">
        <v>127</v>
      </c>
      <c r="N18" s="75" t="s">
        <v>127</v>
      </c>
      <c r="O18" s="75" t="s">
        <v>128</v>
      </c>
      <c r="P18" s="75" t="s">
        <v>128</v>
      </c>
      <c r="Q18" s="75" t="s">
        <v>128</v>
      </c>
      <c r="R18" s="79" t="s">
        <v>79</v>
      </c>
      <c r="S18" s="79"/>
      <c r="T18" s="79"/>
      <c r="U18" s="79"/>
    </row>
    <row r="19" spans="2:21" x14ac:dyDescent="0.25">
      <c r="B19" s="73" t="s">
        <v>15</v>
      </c>
      <c r="C19" s="74" t="s">
        <v>4</v>
      </c>
      <c r="D19" s="75">
        <v>4</v>
      </c>
      <c r="E19" s="75">
        <v>4</v>
      </c>
      <c r="F19" s="75"/>
      <c r="G19" s="75"/>
      <c r="H19" s="75"/>
      <c r="I19" s="75" t="s">
        <v>127</v>
      </c>
      <c r="J19" s="75" t="s">
        <v>128</v>
      </c>
      <c r="K19" s="75" t="s">
        <v>128</v>
      </c>
      <c r="L19" s="75" t="s">
        <v>128</v>
      </c>
      <c r="M19" s="75" t="s">
        <v>127</v>
      </c>
      <c r="N19" s="75" t="s">
        <v>127</v>
      </c>
      <c r="O19" s="75" t="s">
        <v>128</v>
      </c>
      <c r="P19" s="75" t="s">
        <v>128</v>
      </c>
      <c r="Q19" s="75" t="s">
        <v>128</v>
      </c>
      <c r="R19" s="79" t="s">
        <v>79</v>
      </c>
      <c r="S19" s="79"/>
      <c r="T19" s="79"/>
      <c r="U19" s="79"/>
    </row>
    <row r="20" spans="2:21" x14ac:dyDescent="0.25">
      <c r="B20" s="73" t="s">
        <v>15</v>
      </c>
      <c r="C20" s="74" t="s">
        <v>5</v>
      </c>
      <c r="D20" s="75">
        <v>4</v>
      </c>
      <c r="E20" s="75">
        <v>4</v>
      </c>
      <c r="F20" s="80"/>
      <c r="G20" s="75"/>
      <c r="H20" s="75"/>
      <c r="I20" s="75" t="s">
        <v>128</v>
      </c>
      <c r="J20" s="75" t="s">
        <v>128</v>
      </c>
      <c r="K20" s="75" t="s">
        <v>128</v>
      </c>
      <c r="L20" s="75" t="s">
        <v>128</v>
      </c>
      <c r="M20" s="75" t="s">
        <v>127</v>
      </c>
      <c r="N20" s="75" t="s">
        <v>127</v>
      </c>
      <c r="O20" s="75" t="s">
        <v>128</v>
      </c>
      <c r="P20" s="75" t="s">
        <v>128</v>
      </c>
      <c r="Q20" s="75" t="s">
        <v>128</v>
      </c>
      <c r="R20" s="79" t="s">
        <v>79</v>
      </c>
      <c r="S20" s="79"/>
      <c r="T20" s="79"/>
      <c r="U20" s="79"/>
    </row>
    <row r="21" spans="2:21" x14ac:dyDescent="0.25">
      <c r="B21" s="73" t="s">
        <v>15</v>
      </c>
      <c r="C21" s="74" t="s">
        <v>7</v>
      </c>
      <c r="D21" s="75">
        <v>4</v>
      </c>
      <c r="E21" s="75">
        <v>4</v>
      </c>
      <c r="F21" s="80"/>
      <c r="G21" s="75"/>
      <c r="H21" s="75"/>
      <c r="I21" s="75" t="s">
        <v>127</v>
      </c>
      <c r="J21" s="75" t="s">
        <v>128</v>
      </c>
      <c r="K21" s="75" t="s">
        <v>128</v>
      </c>
      <c r="L21" s="75" t="s">
        <v>128</v>
      </c>
      <c r="M21" s="75" t="s">
        <v>127</v>
      </c>
      <c r="N21" s="75" t="s">
        <v>127</v>
      </c>
      <c r="O21" s="75" t="s">
        <v>128</v>
      </c>
      <c r="P21" s="75" t="s">
        <v>128</v>
      </c>
      <c r="Q21" s="75" t="s">
        <v>128</v>
      </c>
      <c r="R21" s="79" t="s">
        <v>79</v>
      </c>
      <c r="S21" s="79"/>
      <c r="T21" s="79"/>
      <c r="U21" s="79"/>
    </row>
    <row r="22" spans="2:21" x14ac:dyDescent="0.25">
      <c r="B22" s="73" t="s">
        <v>15</v>
      </c>
      <c r="C22" s="74" t="s">
        <v>16</v>
      </c>
      <c r="D22" s="75">
        <v>5</v>
      </c>
      <c r="E22" s="75">
        <v>5</v>
      </c>
      <c r="F22" s="80"/>
      <c r="G22" s="75"/>
      <c r="H22" s="75"/>
      <c r="I22" s="75" t="s">
        <v>128</v>
      </c>
      <c r="J22" s="75" t="s">
        <v>128</v>
      </c>
      <c r="K22" s="75" t="s">
        <v>128</v>
      </c>
      <c r="L22" s="75" t="s">
        <v>128</v>
      </c>
      <c r="M22" s="75" t="s">
        <v>127</v>
      </c>
      <c r="N22" s="75" t="s">
        <v>127</v>
      </c>
      <c r="O22" s="75" t="s">
        <v>128</v>
      </c>
      <c r="P22" s="75" t="s">
        <v>128</v>
      </c>
      <c r="Q22" s="75" t="s">
        <v>128</v>
      </c>
      <c r="R22" s="79" t="s">
        <v>79</v>
      </c>
      <c r="S22" s="79"/>
      <c r="T22" s="79"/>
      <c r="U22" s="79"/>
    </row>
    <row r="23" spans="2:21" x14ac:dyDescent="0.25">
      <c r="B23" s="73" t="s">
        <v>15</v>
      </c>
      <c r="C23" s="74" t="s">
        <v>184</v>
      </c>
      <c r="D23" s="75">
        <v>6</v>
      </c>
      <c r="E23" s="75">
        <v>6</v>
      </c>
      <c r="F23" s="80"/>
      <c r="G23" s="75"/>
      <c r="H23" s="75"/>
      <c r="I23" s="75" t="s">
        <v>127</v>
      </c>
      <c r="J23" s="75" t="s">
        <v>128</v>
      </c>
      <c r="K23" s="75" t="s">
        <v>128</v>
      </c>
      <c r="L23" s="75" t="s">
        <v>127</v>
      </c>
      <c r="M23" s="75" t="s">
        <v>127</v>
      </c>
      <c r="N23" s="75" t="s">
        <v>127</v>
      </c>
      <c r="O23" s="75" t="s">
        <v>128</v>
      </c>
      <c r="P23" s="75" t="s">
        <v>128</v>
      </c>
      <c r="Q23" s="75" t="s">
        <v>128</v>
      </c>
      <c r="R23" s="79" t="s">
        <v>79</v>
      </c>
      <c r="S23" s="79"/>
      <c r="T23" s="79"/>
      <c r="U23" s="79"/>
    </row>
    <row r="24" spans="2:21" x14ac:dyDescent="0.25">
      <c r="B24" s="73" t="s">
        <v>17</v>
      </c>
      <c r="C24" s="74" t="s">
        <v>18</v>
      </c>
      <c r="D24" s="75">
        <v>2</v>
      </c>
      <c r="E24" s="75">
        <v>2</v>
      </c>
      <c r="F24" s="75"/>
      <c r="G24" s="75"/>
      <c r="H24" s="75"/>
      <c r="I24" s="75" t="s">
        <v>128</v>
      </c>
      <c r="J24" s="75" t="s">
        <v>128</v>
      </c>
      <c r="K24" s="75" t="s">
        <v>128</v>
      </c>
      <c r="L24" s="75" t="s">
        <v>128</v>
      </c>
      <c r="M24" s="75" t="s">
        <v>127</v>
      </c>
      <c r="N24" s="75" t="s">
        <v>127</v>
      </c>
      <c r="O24" s="75" t="s">
        <v>128</v>
      </c>
      <c r="P24" s="75" t="s">
        <v>128</v>
      </c>
      <c r="Q24" s="75" t="s">
        <v>128</v>
      </c>
      <c r="R24" s="79" t="s">
        <v>79</v>
      </c>
      <c r="S24" s="79" t="s">
        <v>58</v>
      </c>
      <c r="T24" s="79"/>
      <c r="U24" s="79"/>
    </row>
    <row r="25" spans="2:21" x14ac:dyDescent="0.25">
      <c r="B25" s="73" t="s">
        <v>17</v>
      </c>
      <c r="C25" s="74" t="s">
        <v>19</v>
      </c>
      <c r="D25" s="75">
        <v>3</v>
      </c>
      <c r="E25" s="75">
        <v>3</v>
      </c>
      <c r="F25" s="80"/>
      <c r="G25" s="75"/>
      <c r="H25" s="75"/>
      <c r="I25" s="75" t="s">
        <v>128</v>
      </c>
      <c r="J25" s="75" t="s">
        <v>128</v>
      </c>
      <c r="K25" s="75" t="s">
        <v>128</v>
      </c>
      <c r="L25" s="75" t="s">
        <v>128</v>
      </c>
      <c r="M25" s="75" t="s">
        <v>127</v>
      </c>
      <c r="N25" s="75" t="s">
        <v>127</v>
      </c>
      <c r="O25" s="75" t="s">
        <v>128</v>
      </c>
      <c r="P25" s="75" t="s">
        <v>128</v>
      </c>
      <c r="Q25" s="75" t="s">
        <v>128</v>
      </c>
      <c r="R25" s="79" t="s">
        <v>79</v>
      </c>
      <c r="S25" s="79" t="s">
        <v>58</v>
      </c>
      <c r="T25" s="79"/>
      <c r="U25" s="79"/>
    </row>
    <row r="26" spans="2:21" x14ac:dyDescent="0.25">
      <c r="B26" s="73" t="s">
        <v>17</v>
      </c>
      <c r="C26" s="74" t="s">
        <v>185</v>
      </c>
      <c r="D26" s="75">
        <v>3</v>
      </c>
      <c r="E26" s="75">
        <v>3</v>
      </c>
      <c r="F26" s="80"/>
      <c r="G26" s="75"/>
      <c r="H26" s="75"/>
      <c r="I26" s="75" t="s">
        <v>128</v>
      </c>
      <c r="J26" s="75" t="s">
        <v>128</v>
      </c>
      <c r="K26" s="75" t="s">
        <v>128</v>
      </c>
      <c r="L26" s="75" t="s">
        <v>128</v>
      </c>
      <c r="M26" s="75" t="s">
        <v>127</v>
      </c>
      <c r="N26" s="75" t="s">
        <v>127</v>
      </c>
      <c r="O26" s="75" t="s">
        <v>128</v>
      </c>
      <c r="P26" s="75" t="s">
        <v>128</v>
      </c>
      <c r="Q26" s="75" t="s">
        <v>128</v>
      </c>
      <c r="R26" s="79" t="s">
        <v>79</v>
      </c>
      <c r="S26" s="79" t="s">
        <v>58</v>
      </c>
      <c r="T26" s="79"/>
      <c r="U26" s="79"/>
    </row>
    <row r="27" spans="2:21" x14ac:dyDescent="0.25">
      <c r="B27" s="73" t="s">
        <v>17</v>
      </c>
      <c r="C27" s="74" t="s">
        <v>20</v>
      </c>
      <c r="D27" s="75">
        <v>4</v>
      </c>
      <c r="E27" s="75">
        <v>5</v>
      </c>
      <c r="F27" s="80"/>
      <c r="G27" s="75"/>
      <c r="H27" s="75"/>
      <c r="I27" s="75" t="s">
        <v>127</v>
      </c>
      <c r="J27" s="75" t="s">
        <v>128</v>
      </c>
      <c r="K27" s="75" t="s">
        <v>128</v>
      </c>
      <c r="L27" s="75" t="s">
        <v>127</v>
      </c>
      <c r="M27" s="75" t="s">
        <v>127</v>
      </c>
      <c r="N27" s="75" t="s">
        <v>127</v>
      </c>
      <c r="O27" s="75" t="s">
        <v>128</v>
      </c>
      <c r="P27" s="75" t="s">
        <v>128</v>
      </c>
      <c r="Q27" s="75" t="s">
        <v>128</v>
      </c>
      <c r="R27" s="79" t="s">
        <v>79</v>
      </c>
      <c r="S27" s="79" t="s">
        <v>58</v>
      </c>
      <c r="T27" s="79"/>
      <c r="U27" s="79"/>
    </row>
    <row r="28" spans="2:21" x14ac:dyDescent="0.25">
      <c r="B28" s="73" t="s">
        <v>17</v>
      </c>
      <c r="C28" s="74" t="s">
        <v>137</v>
      </c>
      <c r="D28" s="75">
        <v>4</v>
      </c>
      <c r="E28" s="75">
        <v>5</v>
      </c>
      <c r="F28" s="80"/>
      <c r="G28" s="75"/>
      <c r="H28" s="75"/>
      <c r="I28" s="75" t="s">
        <v>127</v>
      </c>
      <c r="J28" s="75" t="s">
        <v>128</v>
      </c>
      <c r="K28" s="75" t="s">
        <v>128</v>
      </c>
      <c r="L28" s="75" t="s">
        <v>127</v>
      </c>
      <c r="M28" s="75" t="s">
        <v>127</v>
      </c>
      <c r="N28" s="75" t="s">
        <v>127</v>
      </c>
      <c r="O28" s="75" t="s">
        <v>127</v>
      </c>
      <c r="P28" s="75" t="s">
        <v>128</v>
      </c>
      <c r="Q28" s="75" t="s">
        <v>128</v>
      </c>
      <c r="R28" s="79" t="s">
        <v>79</v>
      </c>
      <c r="S28" s="79" t="s">
        <v>58</v>
      </c>
      <c r="T28" s="79"/>
      <c r="U28" s="79"/>
    </row>
    <row r="29" spans="2:21" x14ac:dyDescent="0.25">
      <c r="B29" s="73" t="s">
        <v>21</v>
      </c>
      <c r="C29" s="74" t="s">
        <v>22</v>
      </c>
      <c r="D29" s="75">
        <v>3</v>
      </c>
      <c r="E29" s="75">
        <v>3</v>
      </c>
      <c r="F29" s="75"/>
      <c r="G29" s="75"/>
      <c r="H29" s="75"/>
      <c r="I29" s="75" t="s">
        <v>128</v>
      </c>
      <c r="J29" s="75" t="s">
        <v>128</v>
      </c>
      <c r="K29" s="75" t="s">
        <v>128</v>
      </c>
      <c r="L29" s="75" t="s">
        <v>128</v>
      </c>
      <c r="M29" s="75" t="s">
        <v>128</v>
      </c>
      <c r="N29" s="75" t="s">
        <v>128</v>
      </c>
      <c r="O29" s="75" t="s">
        <v>128</v>
      </c>
      <c r="P29" s="75" t="s">
        <v>128</v>
      </c>
      <c r="Q29" s="75" t="s">
        <v>128</v>
      </c>
      <c r="R29" s="79" t="s">
        <v>79</v>
      </c>
      <c r="S29" s="79"/>
      <c r="T29" s="79"/>
      <c r="U29" s="79"/>
    </row>
    <row r="30" spans="2:21" x14ac:dyDescent="0.25">
      <c r="B30" s="73" t="s">
        <v>21</v>
      </c>
      <c r="C30" s="74" t="s">
        <v>23</v>
      </c>
      <c r="D30" s="75">
        <v>4</v>
      </c>
      <c r="E30" s="75">
        <v>4</v>
      </c>
      <c r="F30" s="80"/>
      <c r="G30" s="75"/>
      <c r="H30" s="75"/>
      <c r="I30" s="75" t="s">
        <v>128</v>
      </c>
      <c r="J30" s="75" t="s">
        <v>128</v>
      </c>
      <c r="K30" s="75" t="s">
        <v>128</v>
      </c>
      <c r="L30" s="75" t="s">
        <v>128</v>
      </c>
      <c r="M30" s="75" t="s">
        <v>128</v>
      </c>
      <c r="N30" s="75" t="s">
        <v>128</v>
      </c>
      <c r="O30" s="75" t="s">
        <v>128</v>
      </c>
      <c r="P30" s="75" t="s">
        <v>128</v>
      </c>
      <c r="Q30" s="75" t="s">
        <v>128</v>
      </c>
      <c r="R30" s="79" t="s">
        <v>79</v>
      </c>
      <c r="S30" s="79"/>
      <c r="T30" s="79"/>
      <c r="U30" s="79"/>
    </row>
    <row r="31" spans="2:21" x14ac:dyDescent="0.25">
      <c r="B31" s="73" t="s">
        <v>21</v>
      </c>
      <c r="C31" s="74" t="s">
        <v>24</v>
      </c>
      <c r="D31" s="75">
        <v>5</v>
      </c>
      <c r="E31" s="75">
        <v>5</v>
      </c>
      <c r="F31" s="80"/>
      <c r="G31" s="75"/>
      <c r="H31" s="75"/>
      <c r="I31" s="75" t="s">
        <v>128</v>
      </c>
      <c r="J31" s="75" t="s">
        <v>128</v>
      </c>
      <c r="K31" s="75" t="s">
        <v>128</v>
      </c>
      <c r="L31" s="75" t="s">
        <v>128</v>
      </c>
      <c r="M31" s="75" t="s">
        <v>128</v>
      </c>
      <c r="N31" s="75" t="s">
        <v>128</v>
      </c>
      <c r="O31" s="75" t="s">
        <v>128</v>
      </c>
      <c r="P31" s="75" t="s">
        <v>128</v>
      </c>
      <c r="Q31" s="75" t="s">
        <v>128</v>
      </c>
      <c r="R31" s="79" t="s">
        <v>79</v>
      </c>
      <c r="S31" s="79"/>
      <c r="T31" s="79"/>
      <c r="U31" s="79"/>
    </row>
    <row r="32" spans="2:21" x14ac:dyDescent="0.25">
      <c r="B32" s="73" t="s">
        <v>25</v>
      </c>
      <c r="C32" s="74" t="s">
        <v>26</v>
      </c>
      <c r="D32" s="75">
        <v>5</v>
      </c>
      <c r="E32" s="75">
        <v>5</v>
      </c>
      <c r="F32" s="75"/>
      <c r="G32" s="75"/>
      <c r="H32" s="75"/>
      <c r="I32" s="75" t="s">
        <v>128</v>
      </c>
      <c r="J32" s="75" t="s">
        <v>128</v>
      </c>
      <c r="K32" s="75" t="s">
        <v>128</v>
      </c>
      <c r="L32" s="75" t="s">
        <v>128</v>
      </c>
      <c r="M32" s="75" t="s">
        <v>128</v>
      </c>
      <c r="N32" s="75" t="s">
        <v>128</v>
      </c>
      <c r="O32" s="75" t="s">
        <v>128</v>
      </c>
      <c r="P32" s="75" t="s">
        <v>128</v>
      </c>
      <c r="Q32" s="75" t="s">
        <v>128</v>
      </c>
      <c r="R32" s="79" t="s">
        <v>79</v>
      </c>
      <c r="S32" s="79"/>
      <c r="T32" s="79"/>
      <c r="U32" s="79"/>
    </row>
    <row r="33" spans="2:21" x14ac:dyDescent="0.25">
      <c r="B33" s="73" t="s">
        <v>25</v>
      </c>
      <c r="C33" s="74" t="s">
        <v>27</v>
      </c>
      <c r="D33" s="75">
        <v>6</v>
      </c>
      <c r="E33" s="75">
        <v>6</v>
      </c>
      <c r="F33" s="80"/>
      <c r="G33" s="75"/>
      <c r="H33" s="75"/>
      <c r="I33" s="75" t="s">
        <v>128</v>
      </c>
      <c r="J33" s="75" t="s">
        <v>128</v>
      </c>
      <c r="K33" s="75" t="s">
        <v>128</v>
      </c>
      <c r="L33" s="75" t="s">
        <v>128</v>
      </c>
      <c r="M33" s="75" t="s">
        <v>128</v>
      </c>
      <c r="N33" s="75" t="s">
        <v>128</v>
      </c>
      <c r="O33" s="75" t="s">
        <v>128</v>
      </c>
      <c r="P33" s="75" t="s">
        <v>128</v>
      </c>
      <c r="Q33" s="75" t="s">
        <v>128</v>
      </c>
      <c r="R33" s="79" t="s">
        <v>79</v>
      </c>
      <c r="S33" s="79"/>
      <c r="T33" s="79"/>
      <c r="U33" s="79"/>
    </row>
    <row r="34" spans="2:21" x14ac:dyDescent="0.25">
      <c r="B34" s="73" t="s">
        <v>25</v>
      </c>
      <c r="C34" s="74" t="s">
        <v>28</v>
      </c>
      <c r="D34" s="75">
        <v>6</v>
      </c>
      <c r="E34" s="75">
        <v>6</v>
      </c>
      <c r="F34" s="80"/>
      <c r="G34" s="75"/>
      <c r="H34" s="75"/>
      <c r="I34" s="75" t="s">
        <v>128</v>
      </c>
      <c r="J34" s="75" t="s">
        <v>128</v>
      </c>
      <c r="K34" s="75" t="s">
        <v>128</v>
      </c>
      <c r="L34" s="75" t="s">
        <v>128</v>
      </c>
      <c r="M34" s="75" t="s">
        <v>128</v>
      </c>
      <c r="N34" s="75" t="s">
        <v>128</v>
      </c>
      <c r="O34" s="75" t="s">
        <v>128</v>
      </c>
      <c r="P34" s="75" t="s">
        <v>128</v>
      </c>
      <c r="Q34" s="75" t="s">
        <v>128</v>
      </c>
      <c r="R34" s="79" t="s">
        <v>79</v>
      </c>
      <c r="S34" s="79"/>
      <c r="T34" s="79"/>
      <c r="U34" s="79"/>
    </row>
    <row r="35" spans="2:21" x14ac:dyDescent="0.25">
      <c r="B35" s="73" t="s">
        <v>29</v>
      </c>
      <c r="C35" s="74" t="s">
        <v>18</v>
      </c>
      <c r="D35" s="75">
        <v>2</v>
      </c>
      <c r="E35" s="75">
        <v>2</v>
      </c>
      <c r="F35" s="75"/>
      <c r="G35" s="75"/>
      <c r="H35" s="75"/>
      <c r="I35" s="75" t="s">
        <v>128</v>
      </c>
      <c r="J35" s="75" t="s">
        <v>128</v>
      </c>
      <c r="K35" s="75" t="s">
        <v>128</v>
      </c>
      <c r="L35" s="75" t="s">
        <v>128</v>
      </c>
      <c r="M35" s="75" t="s">
        <v>128</v>
      </c>
      <c r="N35" s="75" t="s">
        <v>128</v>
      </c>
      <c r="O35" s="75" t="s">
        <v>128</v>
      </c>
      <c r="P35" s="75" t="s">
        <v>128</v>
      </c>
      <c r="Q35" s="75" t="s">
        <v>128</v>
      </c>
      <c r="R35" s="79" t="s">
        <v>79</v>
      </c>
      <c r="S35" s="79"/>
      <c r="T35" s="79"/>
      <c r="U35" s="79"/>
    </row>
    <row r="36" spans="2:21" x14ac:dyDescent="0.25">
      <c r="B36" s="73" t="s">
        <v>29</v>
      </c>
      <c r="C36" s="74" t="s">
        <v>19</v>
      </c>
      <c r="D36" s="75">
        <v>3</v>
      </c>
      <c r="E36" s="75">
        <v>3</v>
      </c>
      <c r="F36" s="80"/>
      <c r="G36" s="75"/>
      <c r="H36" s="75"/>
      <c r="I36" s="75" t="s">
        <v>128</v>
      </c>
      <c r="J36" s="75" t="s">
        <v>128</v>
      </c>
      <c r="K36" s="75" t="s">
        <v>128</v>
      </c>
      <c r="L36" s="75" t="s">
        <v>128</v>
      </c>
      <c r="M36" s="75" t="s">
        <v>128</v>
      </c>
      <c r="N36" s="75" t="s">
        <v>128</v>
      </c>
      <c r="O36" s="75" t="s">
        <v>128</v>
      </c>
      <c r="P36" s="75" t="s">
        <v>128</v>
      </c>
      <c r="Q36" s="75" t="s">
        <v>128</v>
      </c>
      <c r="R36" s="79" t="s">
        <v>79</v>
      </c>
      <c r="S36" s="79"/>
      <c r="T36" s="79"/>
      <c r="U36" s="79"/>
    </row>
    <row r="37" spans="2:21" x14ac:dyDescent="0.25">
      <c r="B37" s="73" t="s">
        <v>29</v>
      </c>
      <c r="C37" s="74" t="s">
        <v>30</v>
      </c>
      <c r="D37" s="75">
        <v>3</v>
      </c>
      <c r="E37" s="75">
        <v>3</v>
      </c>
      <c r="F37" s="80"/>
      <c r="G37" s="75"/>
      <c r="H37" s="75"/>
      <c r="I37" s="75" t="s">
        <v>128</v>
      </c>
      <c r="J37" s="75" t="s">
        <v>128</v>
      </c>
      <c r="K37" s="75" t="s">
        <v>128</v>
      </c>
      <c r="L37" s="75" t="s">
        <v>128</v>
      </c>
      <c r="M37" s="75" t="s">
        <v>128</v>
      </c>
      <c r="N37" s="75" t="s">
        <v>128</v>
      </c>
      <c r="O37" s="75" t="s">
        <v>128</v>
      </c>
      <c r="P37" s="75" t="s">
        <v>128</v>
      </c>
      <c r="Q37" s="75" t="s">
        <v>128</v>
      </c>
      <c r="R37" s="79" t="s">
        <v>79</v>
      </c>
      <c r="S37" s="79"/>
      <c r="T37" s="79"/>
      <c r="U37" s="79"/>
    </row>
    <row r="38" spans="2:21" x14ac:dyDescent="0.25">
      <c r="B38" s="73" t="s">
        <v>29</v>
      </c>
      <c r="C38" s="74" t="s">
        <v>31</v>
      </c>
      <c r="D38" s="75">
        <v>5</v>
      </c>
      <c r="E38" s="75">
        <v>5</v>
      </c>
      <c r="F38" s="80"/>
      <c r="G38" s="75"/>
      <c r="H38" s="75"/>
      <c r="I38" s="75" t="s">
        <v>128</v>
      </c>
      <c r="J38" s="75" t="s">
        <v>128</v>
      </c>
      <c r="K38" s="75" t="s">
        <v>128</v>
      </c>
      <c r="L38" s="75" t="s">
        <v>128</v>
      </c>
      <c r="M38" s="75" t="s">
        <v>128</v>
      </c>
      <c r="N38" s="75" t="s">
        <v>128</v>
      </c>
      <c r="O38" s="75" t="s">
        <v>128</v>
      </c>
      <c r="P38" s="75" t="s">
        <v>128</v>
      </c>
      <c r="Q38" s="75" t="s">
        <v>128</v>
      </c>
      <c r="R38" s="79" t="s">
        <v>79</v>
      </c>
      <c r="S38" s="79"/>
      <c r="T38" s="79"/>
      <c r="U38" s="79"/>
    </row>
    <row r="39" spans="2:21" x14ac:dyDescent="0.25">
      <c r="B39" s="73" t="s">
        <v>32</v>
      </c>
      <c r="C39" s="74" t="s">
        <v>33</v>
      </c>
      <c r="D39" s="75">
        <v>1</v>
      </c>
      <c r="E39" s="75">
        <v>1</v>
      </c>
      <c r="F39" s="75"/>
      <c r="G39" s="75"/>
      <c r="H39" s="75"/>
      <c r="I39" s="75" t="s">
        <v>128</v>
      </c>
      <c r="J39" s="75" t="s">
        <v>128</v>
      </c>
      <c r="K39" s="75" t="s">
        <v>128</v>
      </c>
      <c r="L39" s="75" t="s">
        <v>128</v>
      </c>
      <c r="M39" s="75" t="s">
        <v>128</v>
      </c>
      <c r="N39" s="75" t="s">
        <v>128</v>
      </c>
      <c r="O39" s="75" t="s">
        <v>128</v>
      </c>
      <c r="P39" s="75" t="s">
        <v>128</v>
      </c>
      <c r="Q39" s="75" t="s">
        <v>128</v>
      </c>
      <c r="R39" s="79" t="s">
        <v>79</v>
      </c>
      <c r="S39" s="79"/>
      <c r="T39" s="79"/>
      <c r="U39" s="79"/>
    </row>
    <row r="40" spans="2:21" x14ac:dyDescent="0.25">
      <c r="B40" s="73" t="s">
        <v>32</v>
      </c>
      <c r="C40" s="74" t="s">
        <v>34</v>
      </c>
      <c r="D40" s="75">
        <v>5</v>
      </c>
      <c r="E40" s="75">
        <v>5</v>
      </c>
      <c r="F40" s="80"/>
      <c r="G40" s="75"/>
      <c r="H40" s="75"/>
      <c r="I40" s="75" t="s">
        <v>128</v>
      </c>
      <c r="J40" s="75" t="s">
        <v>128</v>
      </c>
      <c r="K40" s="75" t="s">
        <v>128</v>
      </c>
      <c r="L40" s="75" t="s">
        <v>128</v>
      </c>
      <c r="M40" s="75" t="s">
        <v>128</v>
      </c>
      <c r="N40" s="75" t="s">
        <v>128</v>
      </c>
      <c r="O40" s="75" t="s">
        <v>128</v>
      </c>
      <c r="P40" s="75" t="s">
        <v>128</v>
      </c>
      <c r="Q40" s="75" t="s">
        <v>128</v>
      </c>
      <c r="R40" s="79" t="s">
        <v>79</v>
      </c>
      <c r="S40" s="79"/>
      <c r="T40" s="79"/>
      <c r="U40" s="79"/>
    </row>
    <row r="41" spans="2:21" x14ac:dyDescent="0.25">
      <c r="B41" s="73" t="s">
        <v>35</v>
      </c>
      <c r="C41" s="74" t="s">
        <v>36</v>
      </c>
      <c r="D41" s="75">
        <v>1</v>
      </c>
      <c r="E41" s="75">
        <v>1</v>
      </c>
      <c r="F41" s="75"/>
      <c r="G41" s="75"/>
      <c r="H41" s="75"/>
      <c r="I41" s="75" t="s">
        <v>128</v>
      </c>
      <c r="J41" s="75" t="s">
        <v>128</v>
      </c>
      <c r="K41" s="75" t="s">
        <v>128</v>
      </c>
      <c r="L41" s="75" t="s">
        <v>128</v>
      </c>
      <c r="M41" s="75" t="s">
        <v>128</v>
      </c>
      <c r="N41" s="75" t="s">
        <v>128</v>
      </c>
      <c r="O41" s="75" t="s">
        <v>128</v>
      </c>
      <c r="P41" s="75" t="s">
        <v>128</v>
      </c>
      <c r="Q41" s="75" t="s">
        <v>128</v>
      </c>
      <c r="R41" s="79" t="s">
        <v>79</v>
      </c>
      <c r="S41" s="79"/>
      <c r="T41" s="79"/>
      <c r="U41" s="79"/>
    </row>
    <row r="42" spans="2:21" x14ac:dyDescent="0.25">
      <c r="B42" s="73" t="s">
        <v>35</v>
      </c>
      <c r="C42" s="74" t="s">
        <v>37</v>
      </c>
      <c r="D42" s="75">
        <v>3</v>
      </c>
      <c r="E42" s="75">
        <v>3</v>
      </c>
      <c r="F42" s="80"/>
      <c r="G42" s="75"/>
      <c r="H42" s="75"/>
      <c r="I42" s="75" t="s">
        <v>128</v>
      </c>
      <c r="J42" s="75" t="s">
        <v>128</v>
      </c>
      <c r="K42" s="75" t="s">
        <v>128</v>
      </c>
      <c r="L42" s="75" t="s">
        <v>128</v>
      </c>
      <c r="M42" s="75" t="s">
        <v>128</v>
      </c>
      <c r="N42" s="75" t="s">
        <v>128</v>
      </c>
      <c r="O42" s="75" t="s">
        <v>128</v>
      </c>
      <c r="P42" s="75" t="s">
        <v>128</v>
      </c>
      <c r="Q42" s="75" t="s">
        <v>128</v>
      </c>
      <c r="R42" s="79" t="s">
        <v>79</v>
      </c>
      <c r="S42" s="79"/>
      <c r="T42" s="79"/>
      <c r="U42" s="79"/>
    </row>
    <row r="43" spans="2:21" x14ac:dyDescent="0.25">
      <c r="B43" s="73" t="s">
        <v>35</v>
      </c>
      <c r="C43" s="74" t="s">
        <v>38</v>
      </c>
      <c r="D43" s="75">
        <v>6</v>
      </c>
      <c r="E43" s="75">
        <v>6</v>
      </c>
      <c r="F43" s="80"/>
      <c r="G43" s="75"/>
      <c r="H43" s="75"/>
      <c r="I43" s="75" t="s">
        <v>128</v>
      </c>
      <c r="J43" s="75" t="s">
        <v>128</v>
      </c>
      <c r="K43" s="75" t="s">
        <v>128</v>
      </c>
      <c r="L43" s="75" t="s">
        <v>128</v>
      </c>
      <c r="M43" s="75" t="s">
        <v>128</v>
      </c>
      <c r="N43" s="75" t="s">
        <v>128</v>
      </c>
      <c r="O43" s="75" t="s">
        <v>128</v>
      </c>
      <c r="P43" s="75" t="s">
        <v>128</v>
      </c>
      <c r="Q43" s="75" t="s">
        <v>128</v>
      </c>
      <c r="R43" s="79" t="s">
        <v>79</v>
      </c>
      <c r="S43" s="79"/>
      <c r="T43" s="79"/>
      <c r="U43" s="79"/>
    </row>
    <row r="44" spans="2:21" ht="27" x14ac:dyDescent="0.25">
      <c r="B44" s="73" t="s">
        <v>39</v>
      </c>
      <c r="C44" s="74" t="s">
        <v>40</v>
      </c>
      <c r="D44" s="75">
        <v>3</v>
      </c>
      <c r="E44" s="75">
        <v>7</v>
      </c>
      <c r="F44" s="75"/>
      <c r="G44" s="75"/>
      <c r="H44" s="75"/>
      <c r="I44" s="75" t="s">
        <v>128</v>
      </c>
      <c r="J44" s="75" t="s">
        <v>128</v>
      </c>
      <c r="K44" s="75" t="s">
        <v>128</v>
      </c>
      <c r="L44" s="75" t="s">
        <v>128</v>
      </c>
      <c r="M44" s="75" t="s">
        <v>128</v>
      </c>
      <c r="N44" s="75" t="s">
        <v>128</v>
      </c>
      <c r="O44" s="75" t="s">
        <v>128</v>
      </c>
      <c r="P44" s="75" t="s">
        <v>128</v>
      </c>
      <c r="Q44" s="75" t="s">
        <v>128</v>
      </c>
      <c r="R44" s="79" t="s">
        <v>79</v>
      </c>
      <c r="S44" s="79"/>
      <c r="T44" s="79"/>
      <c r="U44" s="79"/>
    </row>
    <row r="45" spans="2:21" x14ac:dyDescent="0.25">
      <c r="B45" s="73" t="s">
        <v>161</v>
      </c>
      <c r="C45" s="74" t="s">
        <v>42</v>
      </c>
      <c r="D45" s="75">
        <v>1</v>
      </c>
      <c r="E45" s="75">
        <v>6</v>
      </c>
      <c r="F45" s="75"/>
      <c r="G45" s="75"/>
      <c r="H45" s="75"/>
      <c r="I45" s="75" t="s">
        <v>128</v>
      </c>
      <c r="J45" s="75" t="s">
        <v>128</v>
      </c>
      <c r="K45" s="75" t="s">
        <v>128</v>
      </c>
      <c r="L45" s="75" t="s">
        <v>128</v>
      </c>
      <c r="M45" s="75" t="s">
        <v>128</v>
      </c>
      <c r="N45" s="75" t="s">
        <v>128</v>
      </c>
      <c r="O45" s="75" t="s">
        <v>128</v>
      </c>
      <c r="P45" s="75" t="s">
        <v>128</v>
      </c>
      <c r="Q45" s="75" t="s">
        <v>128</v>
      </c>
      <c r="R45" s="79" t="s">
        <v>79</v>
      </c>
      <c r="S45" s="79"/>
      <c r="T45" s="79"/>
      <c r="U45" s="79"/>
    </row>
    <row r="46" spans="2:21" x14ac:dyDescent="0.25">
      <c r="B46" s="73" t="s">
        <v>43</v>
      </c>
      <c r="C46" s="74" t="s">
        <v>44</v>
      </c>
      <c r="D46" s="75">
        <v>6</v>
      </c>
      <c r="E46" s="75">
        <v>6</v>
      </c>
      <c r="F46" s="75"/>
      <c r="G46" s="75"/>
      <c r="H46" s="75"/>
      <c r="I46" s="75" t="s">
        <v>128</v>
      </c>
      <c r="J46" s="75" t="s">
        <v>128</v>
      </c>
      <c r="K46" s="75" t="s">
        <v>128</v>
      </c>
      <c r="L46" s="75" t="s">
        <v>128</v>
      </c>
      <c r="M46" s="75" t="s">
        <v>128</v>
      </c>
      <c r="N46" s="75" t="s">
        <v>128</v>
      </c>
      <c r="O46" s="75" t="s">
        <v>128</v>
      </c>
      <c r="P46" s="75" t="s">
        <v>128</v>
      </c>
      <c r="Q46" s="75" t="s">
        <v>128</v>
      </c>
      <c r="R46" s="79" t="s">
        <v>79</v>
      </c>
      <c r="S46" s="79"/>
      <c r="T46" s="79"/>
      <c r="U46" s="79"/>
    </row>
    <row r="47" spans="2:21" x14ac:dyDescent="0.25">
      <c r="B47" s="73" t="s">
        <v>43</v>
      </c>
      <c r="C47" s="74" t="s">
        <v>45</v>
      </c>
      <c r="D47" s="75">
        <v>6</v>
      </c>
      <c r="E47" s="75">
        <v>6</v>
      </c>
      <c r="F47" s="80"/>
      <c r="G47" s="75"/>
      <c r="H47" s="75"/>
      <c r="I47" s="75" t="s">
        <v>128</v>
      </c>
      <c r="J47" s="75" t="s">
        <v>128</v>
      </c>
      <c r="K47" s="75" t="s">
        <v>128</v>
      </c>
      <c r="L47" s="75" t="s">
        <v>128</v>
      </c>
      <c r="M47" s="75" t="s">
        <v>128</v>
      </c>
      <c r="N47" s="75" t="s">
        <v>128</v>
      </c>
      <c r="O47" s="75" t="s">
        <v>128</v>
      </c>
      <c r="P47" s="75" t="s">
        <v>128</v>
      </c>
      <c r="Q47" s="75" t="s">
        <v>128</v>
      </c>
      <c r="R47" s="79" t="s">
        <v>79</v>
      </c>
      <c r="S47" s="79"/>
      <c r="T47" s="79"/>
      <c r="U47" s="79"/>
    </row>
    <row r="48" spans="2:21" x14ac:dyDescent="0.25">
      <c r="B48" s="73" t="s">
        <v>43</v>
      </c>
      <c r="C48" s="74" t="s">
        <v>46</v>
      </c>
      <c r="D48" s="75">
        <v>7</v>
      </c>
      <c r="E48" s="75">
        <v>7</v>
      </c>
      <c r="F48" s="80"/>
      <c r="G48" s="75"/>
      <c r="H48" s="75"/>
      <c r="I48" s="75" t="s">
        <v>128</v>
      </c>
      <c r="J48" s="75" t="s">
        <v>128</v>
      </c>
      <c r="K48" s="75" t="s">
        <v>128</v>
      </c>
      <c r="L48" s="75" t="s">
        <v>128</v>
      </c>
      <c r="M48" s="75" t="s">
        <v>128</v>
      </c>
      <c r="N48" s="75" t="s">
        <v>128</v>
      </c>
      <c r="O48" s="75" t="s">
        <v>128</v>
      </c>
      <c r="P48" s="75" t="s">
        <v>128</v>
      </c>
      <c r="Q48" s="75" t="s">
        <v>128</v>
      </c>
      <c r="R48" s="79" t="s">
        <v>79</v>
      </c>
      <c r="S48" s="79"/>
      <c r="T48" s="79"/>
      <c r="U48" s="79"/>
    </row>
    <row r="49" spans="2:21" x14ac:dyDescent="0.25">
      <c r="B49" s="73" t="s">
        <v>173</v>
      </c>
      <c r="C49" s="74" t="s">
        <v>48</v>
      </c>
      <c r="D49" s="75">
        <v>8</v>
      </c>
      <c r="E49" s="75">
        <v>8</v>
      </c>
      <c r="F49" s="75"/>
      <c r="G49" s="75"/>
      <c r="H49" s="75"/>
      <c r="I49" s="75" t="s">
        <v>128</v>
      </c>
      <c r="J49" s="75" t="s">
        <v>128</v>
      </c>
      <c r="K49" s="75" t="s">
        <v>128</v>
      </c>
      <c r="L49" s="75" t="s">
        <v>128</v>
      </c>
      <c r="M49" s="75" t="s">
        <v>128</v>
      </c>
      <c r="N49" s="75" t="s">
        <v>128</v>
      </c>
      <c r="O49" s="75" t="s">
        <v>128</v>
      </c>
      <c r="P49" s="75" t="s">
        <v>128</v>
      </c>
      <c r="Q49" s="75" t="s">
        <v>128</v>
      </c>
      <c r="R49" s="79" t="s">
        <v>79</v>
      </c>
      <c r="S49" s="79"/>
      <c r="T49" s="79"/>
      <c r="U49" s="79"/>
    </row>
    <row r="50" spans="2:21" x14ac:dyDescent="0.25">
      <c r="B50" s="73" t="s">
        <v>171</v>
      </c>
      <c r="C50" s="74" t="s">
        <v>174</v>
      </c>
      <c r="D50" s="75">
        <v>6</v>
      </c>
      <c r="E50" s="75">
        <v>9</v>
      </c>
      <c r="F50" s="75"/>
      <c r="G50" s="75"/>
      <c r="H50" s="75" t="s">
        <v>153</v>
      </c>
      <c r="I50" s="75" t="s">
        <v>128</v>
      </c>
      <c r="J50" s="75" t="s">
        <v>128</v>
      </c>
      <c r="K50" s="75" t="s">
        <v>128</v>
      </c>
      <c r="L50" s="75" t="s">
        <v>128</v>
      </c>
      <c r="M50" s="75" t="s">
        <v>128</v>
      </c>
      <c r="N50" s="75" t="s">
        <v>128</v>
      </c>
      <c r="O50" s="75" t="s">
        <v>128</v>
      </c>
      <c r="P50" s="75" t="s">
        <v>128</v>
      </c>
      <c r="Q50" s="75" t="s">
        <v>128</v>
      </c>
      <c r="R50" s="79" t="s">
        <v>79</v>
      </c>
      <c r="S50" s="79"/>
      <c r="T50" s="79"/>
      <c r="U50" s="79"/>
    </row>
    <row r="51" spans="2:21" x14ac:dyDescent="0.25">
      <c r="B51" s="73" t="s">
        <v>172</v>
      </c>
      <c r="C51" s="74"/>
      <c r="D51" s="75">
        <v>10</v>
      </c>
      <c r="E51" s="75">
        <v>10</v>
      </c>
      <c r="F51" s="75"/>
      <c r="G51" s="75"/>
      <c r="H51" s="75" t="s">
        <v>151</v>
      </c>
      <c r="I51" s="75" t="s">
        <v>128</v>
      </c>
      <c r="J51" s="75" t="s">
        <v>128</v>
      </c>
      <c r="K51" s="75" t="s">
        <v>128</v>
      </c>
      <c r="L51" s="75" t="s">
        <v>128</v>
      </c>
      <c r="M51" s="75" t="s">
        <v>128</v>
      </c>
      <c r="N51" s="75" t="s">
        <v>128</v>
      </c>
      <c r="O51" s="75" t="s">
        <v>128</v>
      </c>
      <c r="P51" s="75" t="s">
        <v>128</v>
      </c>
      <c r="Q51" s="75" t="s">
        <v>128</v>
      </c>
      <c r="R51" s="79" t="s">
        <v>79</v>
      </c>
      <c r="S51" s="79"/>
      <c r="T51" s="79"/>
      <c r="U51" s="79"/>
    </row>
    <row r="52" spans="2:21" x14ac:dyDescent="0.25">
      <c r="B52" s="73" t="s">
        <v>159</v>
      </c>
      <c r="C52" s="74"/>
      <c r="D52" s="75">
        <v>20</v>
      </c>
      <c r="E52" s="75">
        <v>20</v>
      </c>
      <c r="F52" s="75"/>
      <c r="G52" s="75"/>
      <c r="H52" s="75" t="s">
        <v>160</v>
      </c>
      <c r="I52" s="75" t="s">
        <v>128</v>
      </c>
      <c r="J52" s="75" t="s">
        <v>128</v>
      </c>
      <c r="K52" s="75" t="s">
        <v>128</v>
      </c>
      <c r="L52" s="75" t="s">
        <v>128</v>
      </c>
      <c r="M52" s="75" t="s">
        <v>128</v>
      </c>
      <c r="N52" s="75" t="s">
        <v>128</v>
      </c>
      <c r="O52" s="75" t="s">
        <v>128</v>
      </c>
      <c r="P52" s="75" t="s">
        <v>128</v>
      </c>
      <c r="Q52" s="75" t="s">
        <v>128</v>
      </c>
      <c r="R52" s="79" t="s">
        <v>79</v>
      </c>
      <c r="S52" s="79"/>
      <c r="T52" s="79"/>
      <c r="U52" s="79"/>
    </row>
    <row r="53" spans="2:21" x14ac:dyDescent="0.25">
      <c r="B53" s="73" t="s">
        <v>150</v>
      </c>
      <c r="C53" s="74"/>
      <c r="D53" s="75">
        <v>15</v>
      </c>
      <c r="E53" s="75">
        <v>15</v>
      </c>
      <c r="F53" s="75"/>
      <c r="G53" s="75"/>
      <c r="H53" s="75" t="s">
        <v>152</v>
      </c>
      <c r="I53" s="75" t="s">
        <v>128</v>
      </c>
      <c r="J53" s="75" t="s">
        <v>128</v>
      </c>
      <c r="K53" s="75" t="s">
        <v>128</v>
      </c>
      <c r="L53" s="75" t="s">
        <v>128</v>
      </c>
      <c r="M53" s="75" t="s">
        <v>128</v>
      </c>
      <c r="N53" s="75" t="s">
        <v>128</v>
      </c>
      <c r="O53" s="75" t="s">
        <v>128</v>
      </c>
      <c r="P53" s="75" t="s">
        <v>128</v>
      </c>
      <c r="Q53" s="75" t="s">
        <v>128</v>
      </c>
      <c r="R53" s="79" t="s">
        <v>79</v>
      </c>
      <c r="S53" s="79"/>
      <c r="T53" s="79"/>
      <c r="U53" s="79"/>
    </row>
    <row r="54" spans="2:21" x14ac:dyDescent="0.25">
      <c r="B54" s="73" t="s">
        <v>158</v>
      </c>
      <c r="C54" s="74"/>
      <c r="D54" s="75">
        <v>13</v>
      </c>
      <c r="E54" s="75">
        <v>13</v>
      </c>
      <c r="F54" s="75"/>
      <c r="G54" s="75"/>
      <c r="H54" s="75" t="s">
        <v>154</v>
      </c>
      <c r="I54" s="75" t="s">
        <v>128</v>
      </c>
      <c r="J54" s="75" t="s">
        <v>128</v>
      </c>
      <c r="K54" s="75" t="s">
        <v>128</v>
      </c>
      <c r="L54" s="75" t="s">
        <v>128</v>
      </c>
      <c r="M54" s="75" t="s">
        <v>128</v>
      </c>
      <c r="N54" s="75" t="s">
        <v>128</v>
      </c>
      <c r="O54" s="75" t="s">
        <v>128</v>
      </c>
      <c r="P54" s="75" t="s">
        <v>128</v>
      </c>
      <c r="Q54" s="75" t="s">
        <v>128</v>
      </c>
      <c r="R54" s="79" t="s">
        <v>79</v>
      </c>
      <c r="S54" s="79" t="s">
        <v>81</v>
      </c>
      <c r="T54" s="79"/>
      <c r="U54" s="79"/>
    </row>
    <row r="55" spans="2:21" x14ac:dyDescent="0.25">
      <c r="B55" s="73" t="s">
        <v>156</v>
      </c>
      <c r="C55" s="74"/>
      <c r="D55" s="75">
        <v>11</v>
      </c>
      <c r="E55" s="75">
        <v>11</v>
      </c>
      <c r="F55" s="75"/>
      <c r="G55" s="75"/>
      <c r="H55" s="75" t="s">
        <v>155</v>
      </c>
      <c r="I55" s="75" t="s">
        <v>128</v>
      </c>
      <c r="J55" s="75" t="s">
        <v>128</v>
      </c>
      <c r="K55" s="75" t="s">
        <v>128</v>
      </c>
      <c r="L55" s="75" t="s">
        <v>128</v>
      </c>
      <c r="M55" s="75" t="s">
        <v>128</v>
      </c>
      <c r="N55" s="75" t="s">
        <v>128</v>
      </c>
      <c r="O55" s="75" t="s">
        <v>128</v>
      </c>
      <c r="P55" s="75" t="s">
        <v>128</v>
      </c>
      <c r="Q55" s="75" t="s">
        <v>128</v>
      </c>
      <c r="R55" s="79" t="s">
        <v>79</v>
      </c>
      <c r="S55" s="79" t="s">
        <v>80</v>
      </c>
      <c r="T55" s="79"/>
      <c r="U55" s="79"/>
    </row>
    <row r="56" spans="2:21" x14ac:dyDescent="0.25">
      <c r="B56" s="73" t="s">
        <v>157</v>
      </c>
      <c r="C56" s="74"/>
      <c r="D56" s="75">
        <v>12</v>
      </c>
      <c r="E56" s="75">
        <v>12</v>
      </c>
      <c r="F56" s="75"/>
      <c r="G56" s="75"/>
      <c r="H56" s="75"/>
      <c r="I56" s="75" t="s">
        <v>128</v>
      </c>
      <c r="J56" s="75" t="s">
        <v>128</v>
      </c>
      <c r="K56" s="75" t="s">
        <v>128</v>
      </c>
      <c r="L56" s="75" t="s">
        <v>128</v>
      </c>
      <c r="M56" s="75" t="s">
        <v>128</v>
      </c>
      <c r="N56" s="75" t="s">
        <v>128</v>
      </c>
      <c r="O56" s="75" t="s">
        <v>128</v>
      </c>
      <c r="P56" s="75" t="s">
        <v>128</v>
      </c>
      <c r="Q56" s="75" t="s">
        <v>128</v>
      </c>
      <c r="R56" s="79" t="s">
        <v>79</v>
      </c>
      <c r="S56" s="79" t="s">
        <v>81</v>
      </c>
      <c r="T56" s="79"/>
      <c r="U56" s="79"/>
    </row>
    <row r="57" spans="2:21" s="86" customFormat="1" x14ac:dyDescent="0.25">
      <c r="B57" s="81" t="s">
        <v>105</v>
      </c>
      <c r="C57" s="82"/>
      <c r="D57" s="83" t="s">
        <v>108</v>
      </c>
      <c r="E57" s="83" t="s">
        <v>108</v>
      </c>
      <c r="F57" s="84">
        <v>45845</v>
      </c>
      <c r="G57" s="83"/>
      <c r="H57" s="83"/>
      <c r="I57" s="83" t="s">
        <v>128</v>
      </c>
      <c r="J57" s="83" t="s">
        <v>128</v>
      </c>
      <c r="K57" s="83" t="s">
        <v>128</v>
      </c>
      <c r="L57" s="83" t="s">
        <v>128</v>
      </c>
      <c r="M57" s="83" t="s">
        <v>128</v>
      </c>
      <c r="N57" s="83" t="s">
        <v>128</v>
      </c>
      <c r="O57" s="83" t="s">
        <v>128</v>
      </c>
      <c r="P57" s="83" t="s">
        <v>128</v>
      </c>
      <c r="Q57" s="83" t="s">
        <v>128</v>
      </c>
      <c r="R57" s="85" t="s">
        <v>70</v>
      </c>
      <c r="S57" s="85"/>
      <c r="T57" s="85"/>
      <c r="U57" s="85"/>
    </row>
    <row r="58" spans="2:21" s="86" customFormat="1" x14ac:dyDescent="0.25">
      <c r="B58" s="81" t="s">
        <v>106</v>
      </c>
      <c r="C58" s="82"/>
      <c r="D58" s="83" t="s">
        <v>108</v>
      </c>
      <c r="E58" s="83" t="s">
        <v>108</v>
      </c>
      <c r="F58" s="84" t="s">
        <v>111</v>
      </c>
      <c r="G58" s="83"/>
      <c r="H58" s="83"/>
      <c r="I58" s="83" t="s">
        <v>128</v>
      </c>
      <c r="J58" s="83" t="s">
        <v>128</v>
      </c>
      <c r="K58" s="83" t="s">
        <v>128</v>
      </c>
      <c r="L58" s="83" t="s">
        <v>128</v>
      </c>
      <c r="M58" s="83" t="s">
        <v>128</v>
      </c>
      <c r="N58" s="83" t="s">
        <v>128</v>
      </c>
      <c r="O58" s="83" t="s">
        <v>128</v>
      </c>
      <c r="P58" s="83" t="s">
        <v>128</v>
      </c>
      <c r="Q58" s="83" t="s">
        <v>128</v>
      </c>
      <c r="R58" s="85" t="s">
        <v>70</v>
      </c>
      <c r="S58" s="85"/>
      <c r="T58" s="85"/>
      <c r="U58" s="85"/>
    </row>
    <row r="59" spans="2:21" s="86" customFormat="1" x14ac:dyDescent="0.25">
      <c r="B59" s="81" t="s">
        <v>109</v>
      </c>
      <c r="C59" s="82"/>
      <c r="D59" s="83" t="s">
        <v>108</v>
      </c>
      <c r="E59" s="83" t="s">
        <v>108</v>
      </c>
      <c r="F59" s="84">
        <v>45856</v>
      </c>
      <c r="G59" s="83"/>
      <c r="H59" s="83"/>
      <c r="I59" s="83" t="s">
        <v>128</v>
      </c>
      <c r="J59" s="83" t="s">
        <v>128</v>
      </c>
      <c r="K59" s="83" t="s">
        <v>128</v>
      </c>
      <c r="L59" s="83" t="s">
        <v>128</v>
      </c>
      <c r="M59" s="83" t="s">
        <v>128</v>
      </c>
      <c r="N59" s="83" t="s">
        <v>128</v>
      </c>
      <c r="O59" s="83" t="s">
        <v>128</v>
      </c>
      <c r="P59" s="83" t="s">
        <v>128</v>
      </c>
      <c r="Q59" s="83" t="s">
        <v>128</v>
      </c>
      <c r="R59" s="85" t="s">
        <v>70</v>
      </c>
      <c r="S59" s="85"/>
      <c r="T59" s="85"/>
      <c r="U59" s="85"/>
    </row>
    <row r="60" spans="2:21" s="86" customFormat="1" x14ac:dyDescent="0.25">
      <c r="B60" s="81" t="s">
        <v>112</v>
      </c>
      <c r="C60" s="82"/>
      <c r="D60" s="83" t="s">
        <v>108</v>
      </c>
      <c r="E60" s="83" t="s">
        <v>108</v>
      </c>
      <c r="F60" s="84">
        <v>45852</v>
      </c>
      <c r="G60" s="83"/>
      <c r="H60" s="83"/>
      <c r="I60" s="83" t="s">
        <v>128</v>
      </c>
      <c r="J60" s="83" t="s">
        <v>128</v>
      </c>
      <c r="K60" s="83" t="s">
        <v>128</v>
      </c>
      <c r="L60" s="83" t="s">
        <v>128</v>
      </c>
      <c r="M60" s="83" t="s">
        <v>128</v>
      </c>
      <c r="N60" s="83" t="s">
        <v>128</v>
      </c>
      <c r="O60" s="83" t="s">
        <v>128</v>
      </c>
      <c r="P60" s="83" t="s">
        <v>128</v>
      </c>
      <c r="Q60" s="83" t="s">
        <v>128</v>
      </c>
      <c r="R60" s="85" t="s">
        <v>70</v>
      </c>
      <c r="S60" s="85"/>
      <c r="T60" s="85"/>
      <c r="U60" s="85"/>
    </row>
    <row r="61" spans="2:21" s="86" customFormat="1" x14ac:dyDescent="0.25">
      <c r="B61" s="81" t="s">
        <v>113</v>
      </c>
      <c r="C61" s="82"/>
      <c r="D61" s="83" t="s">
        <v>108</v>
      </c>
      <c r="E61" s="83" t="s">
        <v>108</v>
      </c>
      <c r="F61" s="84">
        <v>45860</v>
      </c>
      <c r="G61" s="83"/>
      <c r="H61" s="83"/>
      <c r="I61" s="83" t="s">
        <v>128</v>
      </c>
      <c r="J61" s="83" t="s">
        <v>128</v>
      </c>
      <c r="K61" s="83" t="s">
        <v>128</v>
      </c>
      <c r="L61" s="83" t="s">
        <v>128</v>
      </c>
      <c r="M61" s="83" t="s">
        <v>128</v>
      </c>
      <c r="N61" s="83" t="s">
        <v>128</v>
      </c>
      <c r="O61" s="83" t="s">
        <v>128</v>
      </c>
      <c r="P61" s="83" t="s">
        <v>128</v>
      </c>
      <c r="Q61" s="83" t="s">
        <v>128</v>
      </c>
      <c r="R61" s="85" t="s">
        <v>70</v>
      </c>
      <c r="S61" s="85"/>
      <c r="T61" s="85"/>
      <c r="U61" s="85"/>
    </row>
    <row r="62" spans="2:21" s="86" customFormat="1" x14ac:dyDescent="0.25">
      <c r="B62" s="81" t="s">
        <v>114</v>
      </c>
      <c r="C62" s="82"/>
      <c r="D62" s="83" t="s">
        <v>108</v>
      </c>
      <c r="E62" s="83" t="s">
        <v>108</v>
      </c>
      <c r="F62" s="84">
        <v>45866</v>
      </c>
      <c r="G62" s="83"/>
      <c r="H62" s="83"/>
      <c r="I62" s="83" t="s">
        <v>128</v>
      </c>
      <c r="J62" s="83" t="s">
        <v>128</v>
      </c>
      <c r="K62" s="83" t="s">
        <v>128</v>
      </c>
      <c r="L62" s="83" t="s">
        <v>128</v>
      </c>
      <c r="M62" s="83" t="s">
        <v>128</v>
      </c>
      <c r="N62" s="83" t="s">
        <v>128</v>
      </c>
      <c r="O62" s="83" t="s">
        <v>128</v>
      </c>
      <c r="P62" s="83" t="s">
        <v>128</v>
      </c>
      <c r="Q62" s="83" t="s">
        <v>128</v>
      </c>
      <c r="R62" s="85" t="s">
        <v>70</v>
      </c>
      <c r="S62" s="85"/>
      <c r="T62" s="85"/>
      <c r="U62" s="85"/>
    </row>
    <row r="63" spans="2:21" s="86" customFormat="1" x14ac:dyDescent="0.25">
      <c r="B63" s="81" t="s">
        <v>115</v>
      </c>
      <c r="C63" s="82"/>
      <c r="D63" s="83" t="s">
        <v>108</v>
      </c>
      <c r="E63" s="83" t="s">
        <v>108</v>
      </c>
      <c r="F63" s="84">
        <v>45840</v>
      </c>
      <c r="G63" s="83"/>
      <c r="H63" s="83"/>
      <c r="I63" s="83" t="s">
        <v>128</v>
      </c>
      <c r="J63" s="83" t="s">
        <v>128</v>
      </c>
      <c r="K63" s="83" t="s">
        <v>128</v>
      </c>
      <c r="L63" s="83" t="s">
        <v>128</v>
      </c>
      <c r="M63" s="83" t="s">
        <v>128</v>
      </c>
      <c r="N63" s="83" t="s">
        <v>128</v>
      </c>
      <c r="O63" s="83" t="s">
        <v>128</v>
      </c>
      <c r="P63" s="83" t="s">
        <v>128</v>
      </c>
      <c r="Q63" s="83" t="s">
        <v>128</v>
      </c>
      <c r="R63" s="85" t="s">
        <v>70</v>
      </c>
      <c r="S63" s="85"/>
      <c r="T63" s="85"/>
      <c r="U63" s="85"/>
    </row>
  </sheetData>
  <mergeCells count="1">
    <mergeCell ref="I4:Q4"/>
  </mergeCells>
  <phoneticPr fontId="4" type="noConversion"/>
  <conditionalFormatting sqref="I6:Q63">
    <cfRule type="cellIs" dxfId="1" priority="1" operator="equal">
      <formula>"No"</formula>
    </cfRule>
    <cfRule type="cellIs" dxfId="0" priority="2" operator="equal">
      <formula>"Yes"</formula>
    </cfRule>
  </conditionalFormatting>
  <dataValidations count="1">
    <dataValidation type="list" allowBlank="1" showInputMessage="1" showErrorMessage="1" sqref="I6:Q63" xr:uid="{AB690FA1-6B06-497C-853B-8CE2E04D5EE9}">
      <formula1>"Yes,No"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BCC3B7D8-65B7-4848-8FBE-9F10D6CC89F7}">
          <x14:formula1>
            <xm:f>Categories!$K$9:$K$14</xm:f>
          </x14:formula1>
          <xm:sqref>E3:F3</xm:sqref>
        </x14:dataValidation>
        <x14:dataValidation type="list" allowBlank="1" showInputMessage="1" showErrorMessage="1" xr:uid="{E0A6351A-5A8A-4932-949F-5767A0B388AD}">
          <x14:formula1>
            <xm:f>Categories!$E$3:$E$6</xm:f>
          </x14:formula1>
          <xm:sqref>U6:U56</xm:sqref>
        </x14:dataValidation>
        <x14:dataValidation type="list" allowBlank="1" showInputMessage="1" showErrorMessage="1" xr:uid="{2B88712F-6E9B-4B86-A01F-0EA1DDF6FDB8}">
          <x14:formula1>
            <xm:f>Categories!$G$3:$G$11</xm:f>
          </x14:formula1>
          <xm:sqref>S6:S56</xm:sqref>
        </x14:dataValidation>
        <x14:dataValidation type="list" allowBlank="1" showInputMessage="1" showErrorMessage="1" xr:uid="{1FE40C9B-C9FB-4D77-B64E-8DB4B3490086}">
          <x14:formula1>
            <xm:f>Categories!$C$3:$C$4</xm:f>
          </x14:formula1>
          <xm:sqref>R6:R63</xm:sqref>
        </x14:dataValidation>
        <x14:dataValidation type="list" allowBlank="1" showInputMessage="1" showErrorMessage="1" xr:uid="{BE282BEC-CC92-4B53-8E5E-0146755292A8}">
          <x14:formula1>
            <xm:f>Categories!$M$3:$M$13</xm:f>
          </x14:formula1>
          <xm:sqref>G6:G63</xm:sqref>
        </x14:dataValidation>
        <x14:dataValidation type="list" allowBlank="1" showInputMessage="1" showErrorMessage="1" xr:uid="{A7497F78-332A-4F97-9B93-DAD5A7136397}">
          <x14:formula1>
            <xm:f>Categories!$A$3:$A$5</xm:f>
          </x14:formula1>
          <xm:sqref>T6:T56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11EA5-F2BC-400C-87A5-CD9C401DABC5}">
  <sheetPr>
    <tabColor theme="0"/>
  </sheetPr>
  <dimension ref="A1"/>
  <sheetViews>
    <sheetView workbookViewId="0">
      <selection activeCell="B25" sqref="B25"/>
    </sheetView>
  </sheetViews>
  <sheetFormatPr defaultColWidth="8.7109375" defaultRowHeight="13.5" x14ac:dyDescent="0.25"/>
  <cols>
    <col min="1" max="16384" width="8.7109375" style="2"/>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7668-5F3A-4318-A7FC-B94E755ADE71}">
  <dimension ref="B1:L915"/>
  <sheetViews>
    <sheetView workbookViewId="0">
      <pane xSplit="1" topLeftCell="B1" activePane="topRight" state="frozen"/>
      <selection pane="topRight" activeCell="F20" sqref="F20"/>
    </sheetView>
  </sheetViews>
  <sheetFormatPr defaultColWidth="8.7109375" defaultRowHeight="13.5" x14ac:dyDescent="0.25"/>
  <cols>
    <col min="1" max="1" width="31.7109375" style="2" customWidth="1"/>
    <col min="2" max="2" width="8.7109375" style="2"/>
    <col min="3" max="3" width="9.5703125" style="2" bestFit="1" customWidth="1"/>
    <col min="4" max="4" width="10.5703125" style="2" customWidth="1"/>
    <col min="5" max="5" width="10.42578125" style="2" customWidth="1"/>
    <col min="6" max="6" width="18.42578125" style="2" bestFit="1" customWidth="1"/>
    <col min="7" max="7" width="20.140625" style="2" bestFit="1" customWidth="1"/>
    <col min="8" max="8" width="13.7109375" style="65" customWidth="1"/>
    <col min="9" max="9" width="22.42578125" style="2" customWidth="1"/>
    <col min="10" max="16384" width="8.7109375" style="2"/>
  </cols>
  <sheetData>
    <row r="1" spans="2:12" x14ac:dyDescent="0.25">
      <c r="B1" s="62" t="s">
        <v>88</v>
      </c>
      <c r="C1" s="62" t="s">
        <v>82</v>
      </c>
      <c r="D1" s="62" t="s">
        <v>71</v>
      </c>
      <c r="E1" s="62" t="s">
        <v>65</v>
      </c>
      <c r="F1" s="62" t="s">
        <v>91</v>
      </c>
      <c r="G1" s="62" t="s">
        <v>92</v>
      </c>
      <c r="H1" s="65" t="s">
        <v>125</v>
      </c>
      <c r="I1" s="62" t="s">
        <v>93</v>
      </c>
    </row>
    <row r="2" spans="2:12" x14ac:dyDescent="0.25">
      <c r="B2" s="2">
        <f>YEAR(E2)</f>
        <v>2025</v>
      </c>
      <c r="C2" s="2" t="str">
        <f>TEXT(E2,"mmmm")</f>
        <v>July</v>
      </c>
      <c r="D2" s="2" t="str">
        <f>TEXT(E2,"dddd")</f>
        <v>Tuesday</v>
      </c>
      <c r="E2" s="4">
        <v>45839</v>
      </c>
      <c r="H2" s="3" t="str">
        <f>IF(OR(Table1[[#This Row],[US Holiday]]&lt;&gt;"", Table1[[#This Row],[India Holiday]]&lt;&gt;""), "Yes", "No")</f>
        <v>No</v>
      </c>
      <c r="I2" s="2">
        <v>1</v>
      </c>
    </row>
    <row r="3" spans="2:12" x14ac:dyDescent="0.25">
      <c r="B3" s="2">
        <f t="shared" ref="B3:B66" si="0">YEAR(E3)</f>
        <v>2025</v>
      </c>
      <c r="C3" s="2" t="str">
        <f t="shared" ref="C3:C66" si="1">TEXT(E3,"mmmm")</f>
        <v>July</v>
      </c>
      <c r="D3" s="2" t="str">
        <f t="shared" ref="D3:D66" si="2">TEXT(E3,"dddd")</f>
        <v>Wednesday</v>
      </c>
      <c r="E3" s="4">
        <v>45840</v>
      </c>
      <c r="H3" s="3" t="str">
        <f>IF(OR(Table1[[#This Row],[US Holiday]]&lt;&gt;"", Table1[[#This Row],[India Holiday]]&lt;&gt;""), "Yes", "No")</f>
        <v>No</v>
      </c>
      <c r="I3" s="2">
        <f>IF(
  AND(
    WORKDAY(E3-1,1)=E3,
    _xlfn.CONCAT(F3:G3)=""
  ),
  _xlfn.MAXIFS(I$2:I2,C$2:C2,C3,B$2:B2,B3)+1,
  ""
)</f>
        <v>2</v>
      </c>
      <c r="L3" s="61"/>
    </row>
    <row r="4" spans="2:12" x14ac:dyDescent="0.25">
      <c r="B4" s="2">
        <f t="shared" si="0"/>
        <v>2025</v>
      </c>
      <c r="C4" s="2" t="str">
        <f t="shared" si="1"/>
        <v>July</v>
      </c>
      <c r="D4" s="2" t="str">
        <f t="shared" si="2"/>
        <v>Thursday</v>
      </c>
      <c r="E4" s="4">
        <v>45841</v>
      </c>
      <c r="H4" s="3" t="str">
        <f>IF(OR(Table1[[#This Row],[US Holiday]]&lt;&gt;"", Table1[[#This Row],[India Holiday]]&lt;&gt;""), "Yes", "No")</f>
        <v>No</v>
      </c>
      <c r="I4" s="2">
        <f>IF(
  AND(
    WORKDAY(E4-1,1)=E4,
    _xlfn.CONCAT(F4:G4)=""
  ),
  _xlfn.MAXIFS(I$2:I3,C$2:C3,C4,B$2:B3,B4)+1,
  ""
)</f>
        <v>3</v>
      </c>
      <c r="L4" s="61"/>
    </row>
    <row r="5" spans="2:12" x14ac:dyDescent="0.25">
      <c r="B5" s="2">
        <f t="shared" si="0"/>
        <v>2025</v>
      </c>
      <c r="C5" s="2" t="str">
        <f t="shared" si="1"/>
        <v>July</v>
      </c>
      <c r="D5" s="2" t="str">
        <f t="shared" si="2"/>
        <v>Friday</v>
      </c>
      <c r="E5" s="4">
        <v>45842</v>
      </c>
      <c r="F5" s="65" t="s">
        <v>130</v>
      </c>
      <c r="G5" s="65"/>
      <c r="H5" s="65" t="str">
        <f>IF(OR(Table1[[#This Row],[US Holiday]]&lt;&gt;"", Table1[[#This Row],[India Holiday]]&lt;&gt;""), "Yes", "No")</f>
        <v>Yes</v>
      </c>
      <c r="I5" s="2" t="str">
        <f>IF(
  AND(
    WORKDAY(E5-1,1)=E5,
    _xlfn.CONCAT(F5:G5)=""
  ),
  _xlfn.MAXIFS(I$2:I4,C$2:C4,C5,B$2:B4,B5)+1,
  ""
)</f>
        <v/>
      </c>
    </row>
    <row r="6" spans="2:12" x14ac:dyDescent="0.25">
      <c r="B6" s="2">
        <f t="shared" si="0"/>
        <v>2025</v>
      </c>
      <c r="C6" s="2" t="str">
        <f t="shared" si="1"/>
        <v>July</v>
      </c>
      <c r="D6" s="2" t="str">
        <f t="shared" si="2"/>
        <v>Saturday</v>
      </c>
      <c r="E6" s="4">
        <v>45843</v>
      </c>
      <c r="H6" s="3" t="str">
        <f>IF(OR(Table1[[#This Row],[US Holiday]]&lt;&gt;"", Table1[[#This Row],[India Holiday]]&lt;&gt;""), "Yes", "No")</f>
        <v>No</v>
      </c>
      <c r="I6" s="2" t="str">
        <f>IF(
  AND(
    WORKDAY(E6-1,1)=E6,
    _xlfn.CONCAT(F6:G6)=""
  ),
  _xlfn.MAXIFS(I$2:I5,C$2:C5,C6,B$2:B5,B6)+1,
  ""
)</f>
        <v/>
      </c>
    </row>
    <row r="7" spans="2:12" x14ac:dyDescent="0.25">
      <c r="B7" s="2">
        <f t="shared" si="0"/>
        <v>2025</v>
      </c>
      <c r="C7" s="2" t="str">
        <f t="shared" si="1"/>
        <v>July</v>
      </c>
      <c r="D7" s="2" t="str">
        <f t="shared" si="2"/>
        <v>Sunday</v>
      </c>
      <c r="E7" s="4">
        <v>45844</v>
      </c>
      <c r="H7" s="3" t="str">
        <f>IF(OR(Table1[[#This Row],[US Holiday]]&lt;&gt;"", Table1[[#This Row],[India Holiday]]&lt;&gt;""), "Yes", "No")</f>
        <v>No</v>
      </c>
      <c r="I7" s="2" t="str">
        <f>IF(
  AND(
    WORKDAY(E7-1,1)=E7,
    _xlfn.CONCAT(F7:G7)=""
  ),
  _xlfn.MAXIFS(I$2:I6,C$2:C6,C7,B$2:B6,B7)+1,
  ""
)</f>
        <v/>
      </c>
    </row>
    <row r="8" spans="2:12" x14ac:dyDescent="0.25">
      <c r="B8" s="2">
        <f t="shared" si="0"/>
        <v>2025</v>
      </c>
      <c r="C8" s="2" t="str">
        <f t="shared" si="1"/>
        <v>July</v>
      </c>
      <c r="D8" s="2" t="str">
        <f t="shared" si="2"/>
        <v>Monday</v>
      </c>
      <c r="E8" s="4">
        <v>45845</v>
      </c>
      <c r="H8" s="3" t="str">
        <f>IF(OR(Table1[[#This Row],[US Holiday]]&lt;&gt;"", Table1[[#This Row],[India Holiday]]&lt;&gt;""), "Yes", "No")</f>
        <v>No</v>
      </c>
      <c r="I8" s="2">
        <f>IF(
  AND(
    WORKDAY(E8-1,1)=E8,
    _xlfn.CONCAT(F8:G8)=""
  ),
  _xlfn.MAXIFS(I$2:I7,C$2:C7,C8,B$2:B7,B8)+1,
  ""
)</f>
        <v>4</v>
      </c>
    </row>
    <row r="9" spans="2:12" x14ac:dyDescent="0.25">
      <c r="B9" s="2">
        <f t="shared" si="0"/>
        <v>2025</v>
      </c>
      <c r="C9" s="2" t="str">
        <f t="shared" si="1"/>
        <v>July</v>
      </c>
      <c r="D9" s="2" t="str">
        <f t="shared" si="2"/>
        <v>Tuesday</v>
      </c>
      <c r="E9" s="4">
        <v>45846</v>
      </c>
      <c r="H9" s="3" t="str">
        <f>IF(OR(Table1[[#This Row],[US Holiday]]&lt;&gt;"", Table1[[#This Row],[India Holiday]]&lt;&gt;""), "Yes", "No")</f>
        <v>No</v>
      </c>
      <c r="I9" s="2">
        <f>IF(
  AND(
    WORKDAY(E9-1,1)=E9,
    _xlfn.CONCAT(F9:G9)=""
  ),
  _xlfn.MAXIFS(I$2:I8,C$2:C8,C9,B$2:B8,B9)+1,
  ""
)</f>
        <v>5</v>
      </c>
    </row>
    <row r="10" spans="2:12" x14ac:dyDescent="0.25">
      <c r="B10" s="2">
        <f t="shared" si="0"/>
        <v>2025</v>
      </c>
      <c r="C10" s="2" t="str">
        <f t="shared" si="1"/>
        <v>July</v>
      </c>
      <c r="D10" s="2" t="str">
        <f t="shared" si="2"/>
        <v>Wednesday</v>
      </c>
      <c r="E10" s="4">
        <v>45847</v>
      </c>
      <c r="H10" s="3" t="str">
        <f>IF(OR(Table1[[#This Row],[US Holiday]]&lt;&gt;"", Table1[[#This Row],[India Holiday]]&lt;&gt;""), "Yes", "No")</f>
        <v>No</v>
      </c>
      <c r="I10" s="2">
        <f>IF(
  AND(
    WORKDAY(E10-1,1)=E10,
    _xlfn.CONCAT(F10:G10)=""
  ),
  _xlfn.MAXIFS(I$2:I9,C$2:C9,C10,B$2:B9,B10)+1,
  ""
)</f>
        <v>6</v>
      </c>
    </row>
    <row r="11" spans="2:12" x14ac:dyDescent="0.25">
      <c r="B11" s="2">
        <f t="shared" si="0"/>
        <v>2025</v>
      </c>
      <c r="C11" s="2" t="str">
        <f t="shared" si="1"/>
        <v>July</v>
      </c>
      <c r="D11" s="2" t="str">
        <f t="shared" si="2"/>
        <v>Thursday</v>
      </c>
      <c r="E11" s="4">
        <v>45848</v>
      </c>
      <c r="H11" s="3" t="str">
        <f>IF(OR(Table1[[#This Row],[US Holiday]]&lt;&gt;"", Table1[[#This Row],[India Holiday]]&lt;&gt;""), "Yes", "No")</f>
        <v>No</v>
      </c>
      <c r="I11" s="2">
        <f>IF(
  AND(
    WORKDAY(E11-1,1)=E11,
    _xlfn.CONCAT(F11:G11)=""
  ),
  _xlfn.MAXIFS(I$2:I10,C$2:C10,C11,B$2:B10,B11)+1,
  ""
)</f>
        <v>7</v>
      </c>
    </row>
    <row r="12" spans="2:12" x14ac:dyDescent="0.25">
      <c r="B12" s="2">
        <f t="shared" si="0"/>
        <v>2025</v>
      </c>
      <c r="C12" s="2" t="str">
        <f t="shared" si="1"/>
        <v>July</v>
      </c>
      <c r="D12" s="2" t="str">
        <f t="shared" si="2"/>
        <v>Friday</v>
      </c>
      <c r="E12" s="4">
        <v>45849</v>
      </c>
      <c r="H12" s="3" t="str">
        <f>IF(OR(Table1[[#This Row],[US Holiday]]&lt;&gt;"", Table1[[#This Row],[India Holiday]]&lt;&gt;""), "Yes", "No")</f>
        <v>No</v>
      </c>
      <c r="I12" s="2">
        <f>IF(
  AND(
    WORKDAY(E12-1,1)=E12,
    _xlfn.CONCAT(F12:G12)=""
  ),
  _xlfn.MAXIFS(I$2:I11,C$2:C11,C12,B$2:B11,B12)+1,
  ""
)</f>
        <v>8</v>
      </c>
    </row>
    <row r="13" spans="2:12" x14ac:dyDescent="0.25">
      <c r="B13" s="2">
        <f t="shared" si="0"/>
        <v>2025</v>
      </c>
      <c r="C13" s="2" t="str">
        <f t="shared" si="1"/>
        <v>July</v>
      </c>
      <c r="D13" s="2" t="str">
        <f t="shared" si="2"/>
        <v>Saturday</v>
      </c>
      <c r="E13" s="4">
        <v>45850</v>
      </c>
      <c r="H13" s="3" t="str">
        <f>IF(OR(Table1[[#This Row],[US Holiday]]&lt;&gt;"", Table1[[#This Row],[India Holiday]]&lt;&gt;""), "Yes", "No")</f>
        <v>No</v>
      </c>
      <c r="I13" s="2" t="str">
        <f>IF(
  AND(
    WORKDAY(E13-1,1)=E13,
    _xlfn.CONCAT(F13:G13)=""
  ),
  _xlfn.MAXIFS(I$2:I12,C$2:C12,C13,B$2:B12,B13)+1,
  ""
)</f>
        <v/>
      </c>
    </row>
    <row r="14" spans="2:12" x14ac:dyDescent="0.25">
      <c r="B14" s="2">
        <f t="shared" si="0"/>
        <v>2025</v>
      </c>
      <c r="C14" s="2" t="str">
        <f t="shared" si="1"/>
        <v>July</v>
      </c>
      <c r="D14" s="2" t="str">
        <f t="shared" si="2"/>
        <v>Sunday</v>
      </c>
      <c r="E14" s="4">
        <v>45851</v>
      </c>
      <c r="H14" s="3" t="str">
        <f>IF(OR(Table1[[#This Row],[US Holiday]]&lt;&gt;"", Table1[[#This Row],[India Holiday]]&lt;&gt;""), "Yes", "No")</f>
        <v>No</v>
      </c>
      <c r="I14" s="2" t="str">
        <f>IF(
  AND(
    WORKDAY(E14-1,1)=E14,
    _xlfn.CONCAT(F14:G14)=""
  ),
  _xlfn.MAXIFS(I$2:I13,C$2:C13,C14,B$2:B13,B14)+1,
  ""
)</f>
        <v/>
      </c>
    </row>
    <row r="15" spans="2:12" x14ac:dyDescent="0.25">
      <c r="B15" s="2">
        <f t="shared" si="0"/>
        <v>2025</v>
      </c>
      <c r="C15" s="2" t="str">
        <f t="shared" si="1"/>
        <v>July</v>
      </c>
      <c r="D15" s="2" t="str">
        <f t="shared" si="2"/>
        <v>Monday</v>
      </c>
      <c r="E15" s="4">
        <v>45852</v>
      </c>
      <c r="H15" s="3" t="str">
        <f>IF(OR(Table1[[#This Row],[US Holiday]]&lt;&gt;"", Table1[[#This Row],[India Holiday]]&lt;&gt;""), "Yes", "No")</f>
        <v>No</v>
      </c>
      <c r="I15" s="2">
        <f>IF(
  AND(
    WORKDAY(E15-1,1)=E15,
    _xlfn.CONCAT(F15:G15)=""
  ),
  _xlfn.MAXIFS(I$2:I14,C$2:C14,C15,B$2:B14,B15)+1,
  ""
)</f>
        <v>9</v>
      </c>
    </row>
    <row r="16" spans="2:12" x14ac:dyDescent="0.25">
      <c r="B16" s="2">
        <f t="shared" si="0"/>
        <v>2025</v>
      </c>
      <c r="C16" s="2" t="str">
        <f t="shared" si="1"/>
        <v>July</v>
      </c>
      <c r="D16" s="2" t="str">
        <f t="shared" si="2"/>
        <v>Tuesday</v>
      </c>
      <c r="E16" s="4">
        <v>45853</v>
      </c>
      <c r="H16" s="3" t="str">
        <f>IF(OR(Table1[[#This Row],[US Holiday]]&lt;&gt;"", Table1[[#This Row],[India Holiday]]&lt;&gt;""), "Yes", "No")</f>
        <v>No</v>
      </c>
      <c r="I16" s="2">
        <f>IF(
  AND(
    WORKDAY(E16-1,1)=E16,
    _xlfn.CONCAT(F16:G16)=""
  ),
  _xlfn.MAXIFS(I$2:I15,C$2:C15,C16,B$2:B15,B16)+1,
  ""
)</f>
        <v>10</v>
      </c>
    </row>
    <row r="17" spans="2:9" x14ac:dyDescent="0.25">
      <c r="B17" s="2">
        <f t="shared" si="0"/>
        <v>2025</v>
      </c>
      <c r="C17" s="2" t="str">
        <f t="shared" si="1"/>
        <v>July</v>
      </c>
      <c r="D17" s="2" t="str">
        <f t="shared" si="2"/>
        <v>Wednesday</v>
      </c>
      <c r="E17" s="4">
        <v>45854</v>
      </c>
      <c r="H17" s="3" t="str">
        <f>IF(OR(Table1[[#This Row],[US Holiday]]&lt;&gt;"", Table1[[#This Row],[India Holiday]]&lt;&gt;""), "Yes", "No")</f>
        <v>No</v>
      </c>
      <c r="I17" s="2">
        <f>IF(
  AND(
    WORKDAY(E17-1,1)=E17,
    _xlfn.CONCAT(F17:G17)=""
  ),
  _xlfn.MAXIFS(I$2:I16,C$2:C16,C17,B$2:B16,B17)+1,
  ""
)</f>
        <v>11</v>
      </c>
    </row>
    <row r="18" spans="2:9" x14ac:dyDescent="0.25">
      <c r="B18" s="2">
        <f t="shared" si="0"/>
        <v>2025</v>
      </c>
      <c r="C18" s="2" t="str">
        <f t="shared" si="1"/>
        <v>July</v>
      </c>
      <c r="D18" s="2" t="str">
        <f t="shared" si="2"/>
        <v>Thursday</v>
      </c>
      <c r="E18" s="4">
        <v>45855</v>
      </c>
      <c r="H18" s="3" t="str">
        <f>IF(OR(Table1[[#This Row],[US Holiday]]&lt;&gt;"", Table1[[#This Row],[India Holiday]]&lt;&gt;""), "Yes", "No")</f>
        <v>No</v>
      </c>
      <c r="I18" s="2">
        <f>IF(
  AND(
    WORKDAY(E18-1,1)=E18,
    _xlfn.CONCAT(F18:G18)=""
  ),
  _xlfn.MAXIFS(I$2:I17,C$2:C17,C18,B$2:B17,B18)+1,
  ""
)</f>
        <v>12</v>
      </c>
    </row>
    <row r="19" spans="2:9" x14ac:dyDescent="0.25">
      <c r="B19" s="2">
        <f t="shared" si="0"/>
        <v>2025</v>
      </c>
      <c r="C19" s="2" t="str">
        <f t="shared" si="1"/>
        <v>July</v>
      </c>
      <c r="D19" s="2" t="str">
        <f t="shared" si="2"/>
        <v>Friday</v>
      </c>
      <c r="E19" s="4">
        <v>45856</v>
      </c>
      <c r="H19" s="3" t="str">
        <f>IF(OR(Table1[[#This Row],[US Holiday]]&lt;&gt;"", Table1[[#This Row],[India Holiday]]&lt;&gt;""), "Yes", "No")</f>
        <v>No</v>
      </c>
      <c r="I19" s="2">
        <f>IF(
  AND(
    WORKDAY(E19-1,1)=E19,
    _xlfn.CONCAT(F19:G19)=""
  ),
  _xlfn.MAXIFS(I$2:I18,C$2:C18,C19,B$2:B18,B19)+1,
  ""
)</f>
        <v>13</v>
      </c>
    </row>
    <row r="20" spans="2:9" x14ac:dyDescent="0.25">
      <c r="B20" s="2">
        <f t="shared" si="0"/>
        <v>2025</v>
      </c>
      <c r="C20" s="2" t="str">
        <f t="shared" si="1"/>
        <v>July</v>
      </c>
      <c r="D20" s="2" t="str">
        <f t="shared" si="2"/>
        <v>Saturday</v>
      </c>
      <c r="E20" s="4">
        <v>45857</v>
      </c>
      <c r="H20" s="3" t="str">
        <f>IF(OR(Table1[[#This Row],[US Holiday]]&lt;&gt;"", Table1[[#This Row],[India Holiday]]&lt;&gt;""), "Yes", "No")</f>
        <v>No</v>
      </c>
      <c r="I20" s="2" t="str">
        <f>IF(
  AND(
    WORKDAY(E20-1,1)=E20,
    _xlfn.CONCAT(F20:G20)=""
  ),
  _xlfn.MAXIFS(I$2:I19,C$2:C19,C20,B$2:B19,B20)+1,
  ""
)</f>
        <v/>
      </c>
    </row>
    <row r="21" spans="2:9" x14ac:dyDescent="0.25">
      <c r="B21" s="2">
        <f t="shared" si="0"/>
        <v>2025</v>
      </c>
      <c r="C21" s="2" t="str">
        <f t="shared" si="1"/>
        <v>July</v>
      </c>
      <c r="D21" s="2" t="str">
        <f t="shared" si="2"/>
        <v>Sunday</v>
      </c>
      <c r="E21" s="4">
        <v>45858</v>
      </c>
      <c r="H21" s="3" t="str">
        <f>IF(OR(Table1[[#This Row],[US Holiday]]&lt;&gt;"", Table1[[#This Row],[India Holiday]]&lt;&gt;""), "Yes", "No")</f>
        <v>No</v>
      </c>
      <c r="I21" s="2" t="str">
        <f>IF(
  AND(
    WORKDAY(E21-1,1)=E21,
    _xlfn.CONCAT(F21:G21)=""
  ),
  _xlfn.MAXIFS(I$2:I20,C$2:C20,C21,B$2:B20,B21)+1,
  ""
)</f>
        <v/>
      </c>
    </row>
    <row r="22" spans="2:9" x14ac:dyDescent="0.25">
      <c r="B22" s="2">
        <f t="shared" si="0"/>
        <v>2025</v>
      </c>
      <c r="C22" s="2" t="str">
        <f t="shared" si="1"/>
        <v>July</v>
      </c>
      <c r="D22" s="2" t="str">
        <f t="shared" si="2"/>
        <v>Monday</v>
      </c>
      <c r="E22" s="4">
        <v>45859</v>
      </c>
      <c r="H22" s="3" t="str">
        <f>IF(OR(Table1[[#This Row],[US Holiday]]&lt;&gt;"", Table1[[#This Row],[India Holiday]]&lt;&gt;""), "Yes", "No")</f>
        <v>No</v>
      </c>
      <c r="I22" s="2">
        <f>IF(
  AND(
    WORKDAY(E22-1,1)=E22,
    _xlfn.CONCAT(F22:G22)=""
  ),
  _xlfn.MAXIFS(I$2:I21,C$2:C21,C22,B$2:B21,B22)+1,
  ""
)</f>
        <v>14</v>
      </c>
    </row>
    <row r="23" spans="2:9" x14ac:dyDescent="0.25">
      <c r="B23" s="2">
        <f t="shared" si="0"/>
        <v>2025</v>
      </c>
      <c r="C23" s="2" t="str">
        <f t="shared" si="1"/>
        <v>July</v>
      </c>
      <c r="D23" s="2" t="str">
        <f t="shared" si="2"/>
        <v>Tuesday</v>
      </c>
      <c r="E23" s="4">
        <v>45860</v>
      </c>
      <c r="H23" s="3" t="str">
        <f>IF(OR(Table1[[#This Row],[US Holiday]]&lt;&gt;"", Table1[[#This Row],[India Holiday]]&lt;&gt;""), "Yes", "No")</f>
        <v>No</v>
      </c>
      <c r="I23" s="2">
        <f>IF(
  AND(
    WORKDAY(E23-1,1)=E23,
    _xlfn.CONCAT(F23:G23)=""
  ),
  _xlfn.MAXIFS(I$2:I22,C$2:C22,C23,B$2:B22,B23)+1,
  ""
)</f>
        <v>15</v>
      </c>
    </row>
    <row r="24" spans="2:9" x14ac:dyDescent="0.25">
      <c r="B24" s="2">
        <f t="shared" si="0"/>
        <v>2025</v>
      </c>
      <c r="C24" s="2" t="str">
        <f t="shared" si="1"/>
        <v>July</v>
      </c>
      <c r="D24" s="2" t="str">
        <f t="shared" si="2"/>
        <v>Wednesday</v>
      </c>
      <c r="E24" s="4">
        <v>45861</v>
      </c>
      <c r="H24" s="3" t="str">
        <f>IF(OR(Table1[[#This Row],[US Holiday]]&lt;&gt;"", Table1[[#This Row],[India Holiday]]&lt;&gt;""), "Yes", "No")</f>
        <v>No</v>
      </c>
      <c r="I24" s="2">
        <f>IF(
  AND(
    WORKDAY(E24-1,1)=E24,
    _xlfn.CONCAT(F24:G24)=""
  ),
  _xlfn.MAXIFS(I$2:I23,C$2:C23,C24,B$2:B23,B24)+1,
  ""
)</f>
        <v>16</v>
      </c>
    </row>
    <row r="25" spans="2:9" x14ac:dyDescent="0.25">
      <c r="B25" s="2">
        <f t="shared" si="0"/>
        <v>2025</v>
      </c>
      <c r="C25" s="2" t="str">
        <f t="shared" si="1"/>
        <v>July</v>
      </c>
      <c r="D25" s="2" t="str">
        <f t="shared" si="2"/>
        <v>Thursday</v>
      </c>
      <c r="E25" s="4">
        <v>45862</v>
      </c>
      <c r="H25" s="3" t="str">
        <f>IF(OR(Table1[[#This Row],[US Holiday]]&lt;&gt;"", Table1[[#This Row],[India Holiday]]&lt;&gt;""), "Yes", "No")</f>
        <v>No</v>
      </c>
      <c r="I25" s="2">
        <f>IF(
  AND(
    WORKDAY(E25-1,1)=E25,
    _xlfn.CONCAT(F25:G25)=""
  ),
  _xlfn.MAXIFS(I$2:I24,C$2:C24,C25,B$2:B24,B25)+1,
  ""
)</f>
        <v>17</v>
      </c>
    </row>
    <row r="26" spans="2:9" x14ac:dyDescent="0.25">
      <c r="B26" s="2">
        <f t="shared" si="0"/>
        <v>2025</v>
      </c>
      <c r="C26" s="2" t="str">
        <f t="shared" si="1"/>
        <v>July</v>
      </c>
      <c r="D26" s="2" t="str">
        <f t="shared" si="2"/>
        <v>Friday</v>
      </c>
      <c r="E26" s="4">
        <v>45863</v>
      </c>
      <c r="H26" s="3" t="str">
        <f>IF(OR(Table1[[#This Row],[US Holiday]]&lt;&gt;"", Table1[[#This Row],[India Holiday]]&lt;&gt;""), "Yes", "No")</f>
        <v>No</v>
      </c>
      <c r="I26" s="2">
        <f>IF(
  AND(
    WORKDAY(E26-1,1)=E26,
    _xlfn.CONCAT(F26:G26)=""
  ),
  _xlfn.MAXIFS(I$2:I25,C$2:C25,C26,B$2:B25,B26)+1,
  ""
)</f>
        <v>18</v>
      </c>
    </row>
    <row r="27" spans="2:9" x14ac:dyDescent="0.25">
      <c r="B27" s="2">
        <f t="shared" si="0"/>
        <v>2025</v>
      </c>
      <c r="C27" s="2" t="str">
        <f t="shared" si="1"/>
        <v>July</v>
      </c>
      <c r="D27" s="2" t="str">
        <f t="shared" si="2"/>
        <v>Saturday</v>
      </c>
      <c r="E27" s="4">
        <v>45864</v>
      </c>
      <c r="H27" s="3" t="str">
        <f>IF(OR(Table1[[#This Row],[US Holiday]]&lt;&gt;"", Table1[[#This Row],[India Holiday]]&lt;&gt;""), "Yes", "No")</f>
        <v>No</v>
      </c>
      <c r="I27" s="2" t="str">
        <f>IF(
  AND(
    WORKDAY(E27-1,1)=E27,
    _xlfn.CONCAT(F27:G27)=""
  ),
  _xlfn.MAXIFS(I$2:I26,C$2:C26,C27,B$2:B26,B27)+1,
  ""
)</f>
        <v/>
      </c>
    </row>
    <row r="28" spans="2:9" x14ac:dyDescent="0.25">
      <c r="B28" s="2">
        <f t="shared" si="0"/>
        <v>2025</v>
      </c>
      <c r="C28" s="2" t="str">
        <f t="shared" si="1"/>
        <v>July</v>
      </c>
      <c r="D28" s="2" t="str">
        <f t="shared" si="2"/>
        <v>Sunday</v>
      </c>
      <c r="E28" s="4">
        <v>45865</v>
      </c>
      <c r="H28" s="3" t="str">
        <f>IF(OR(Table1[[#This Row],[US Holiday]]&lt;&gt;"", Table1[[#This Row],[India Holiday]]&lt;&gt;""), "Yes", "No")</f>
        <v>No</v>
      </c>
      <c r="I28" s="2" t="str">
        <f>IF(
  AND(
    WORKDAY(E28-1,1)=E28,
    _xlfn.CONCAT(F28:G28)=""
  ),
  _xlfn.MAXIFS(I$2:I27,C$2:C27,C28,B$2:B27,B28)+1,
  ""
)</f>
        <v/>
      </c>
    </row>
    <row r="29" spans="2:9" x14ac:dyDescent="0.25">
      <c r="B29" s="2">
        <f t="shared" si="0"/>
        <v>2025</v>
      </c>
      <c r="C29" s="2" t="str">
        <f t="shared" si="1"/>
        <v>July</v>
      </c>
      <c r="D29" s="2" t="str">
        <f t="shared" si="2"/>
        <v>Monday</v>
      </c>
      <c r="E29" s="4">
        <v>45866</v>
      </c>
      <c r="H29" s="3" t="str">
        <f>IF(OR(Table1[[#This Row],[US Holiday]]&lt;&gt;"", Table1[[#This Row],[India Holiday]]&lt;&gt;""), "Yes", "No")</f>
        <v>No</v>
      </c>
      <c r="I29" s="2">
        <f>IF(
  AND(
    WORKDAY(E29-1,1)=E29,
    _xlfn.CONCAT(F29:G29)=""
  ),
  _xlfn.MAXIFS(I$2:I28,C$2:C28,C29,B$2:B28,B29)+1,
  ""
)</f>
        <v>19</v>
      </c>
    </row>
    <row r="30" spans="2:9" x14ac:dyDescent="0.25">
      <c r="B30" s="2">
        <f t="shared" si="0"/>
        <v>2025</v>
      </c>
      <c r="C30" s="2" t="str">
        <f t="shared" si="1"/>
        <v>July</v>
      </c>
      <c r="D30" s="2" t="str">
        <f t="shared" si="2"/>
        <v>Tuesday</v>
      </c>
      <c r="E30" s="4">
        <v>45867</v>
      </c>
      <c r="H30" s="3" t="str">
        <f>IF(OR(Table1[[#This Row],[US Holiday]]&lt;&gt;"", Table1[[#This Row],[India Holiday]]&lt;&gt;""), "Yes", "No")</f>
        <v>No</v>
      </c>
      <c r="I30" s="2">
        <f>IF(
  AND(
    WORKDAY(E30-1,1)=E30,
    _xlfn.CONCAT(F30:G30)=""
  ),
  _xlfn.MAXIFS(I$2:I29,C$2:C29,C30,B$2:B29,B30)+1,
  ""
)</f>
        <v>20</v>
      </c>
    </row>
    <row r="31" spans="2:9" x14ac:dyDescent="0.25">
      <c r="B31" s="2">
        <f t="shared" si="0"/>
        <v>2025</v>
      </c>
      <c r="C31" s="2" t="str">
        <f t="shared" si="1"/>
        <v>July</v>
      </c>
      <c r="D31" s="2" t="str">
        <f t="shared" si="2"/>
        <v>Wednesday</v>
      </c>
      <c r="E31" s="4">
        <v>45868</v>
      </c>
      <c r="H31" s="3" t="str">
        <f>IF(OR(Table1[[#This Row],[US Holiday]]&lt;&gt;"", Table1[[#This Row],[India Holiday]]&lt;&gt;""), "Yes", "No")</f>
        <v>No</v>
      </c>
      <c r="I31" s="2">
        <f>IF(
  AND(
    WORKDAY(E31-1,1)=E31,
    _xlfn.CONCAT(F31:G31)=""
  ),
  _xlfn.MAXIFS(I$2:I30,C$2:C30,C31,B$2:B30,B31)+1,
  ""
)</f>
        <v>21</v>
      </c>
    </row>
    <row r="32" spans="2:9" x14ac:dyDescent="0.25">
      <c r="B32" s="2">
        <f t="shared" si="0"/>
        <v>2025</v>
      </c>
      <c r="C32" s="2" t="str">
        <f t="shared" si="1"/>
        <v>July</v>
      </c>
      <c r="D32" s="2" t="str">
        <f t="shared" si="2"/>
        <v>Thursday</v>
      </c>
      <c r="E32" s="4">
        <v>45869</v>
      </c>
      <c r="H32" s="3" t="str">
        <f>IF(OR(Table1[[#This Row],[US Holiday]]&lt;&gt;"", Table1[[#This Row],[India Holiday]]&lt;&gt;""), "Yes", "No")</f>
        <v>No</v>
      </c>
      <c r="I32" s="2">
        <f>IF(
  AND(
    WORKDAY(E32-1,1)=E32,
    _xlfn.CONCAT(F32:G32)=""
  ),
  _xlfn.MAXIFS(I$2:I31,C$2:C31,C32,B$2:B31,B32)+1,
  ""
)</f>
        <v>22</v>
      </c>
    </row>
    <row r="33" spans="2:9" x14ac:dyDescent="0.25">
      <c r="B33" s="2">
        <f t="shared" si="0"/>
        <v>2025</v>
      </c>
      <c r="C33" s="2" t="str">
        <f t="shared" si="1"/>
        <v>August</v>
      </c>
      <c r="D33" s="2" t="str">
        <f t="shared" si="2"/>
        <v>Friday</v>
      </c>
      <c r="E33" s="4">
        <v>45870</v>
      </c>
      <c r="H33" s="3" t="str">
        <f>IF(OR(Table1[[#This Row],[US Holiday]]&lt;&gt;"", Table1[[#This Row],[India Holiday]]&lt;&gt;""), "Yes", "No")</f>
        <v>No</v>
      </c>
      <c r="I33" s="2">
        <f>IF(
  AND(
    WORKDAY(E33-1,1)=E33,
    _xlfn.CONCAT(F33:G33)=""
  ),
  _xlfn.MAXIFS(I$2:I32,C$2:C32,C33,B$2:B32,B33)+1,
  ""
)</f>
        <v>1</v>
      </c>
    </row>
    <row r="34" spans="2:9" x14ac:dyDescent="0.25">
      <c r="B34" s="2">
        <f t="shared" si="0"/>
        <v>2025</v>
      </c>
      <c r="C34" s="2" t="str">
        <f t="shared" si="1"/>
        <v>August</v>
      </c>
      <c r="D34" s="2" t="str">
        <f t="shared" si="2"/>
        <v>Saturday</v>
      </c>
      <c r="E34" s="4">
        <v>45871</v>
      </c>
      <c r="H34" s="3" t="str">
        <f>IF(OR(Table1[[#This Row],[US Holiday]]&lt;&gt;"", Table1[[#This Row],[India Holiday]]&lt;&gt;""), "Yes", "No")</f>
        <v>No</v>
      </c>
      <c r="I34" s="2" t="str">
        <f>IF(
  AND(
    WORKDAY(E34-1,1)=E34,
    _xlfn.CONCAT(F34:G34)=""
  ),
  _xlfn.MAXIFS(I$2:I33,C$2:C33,C34,B$2:B33,B34)+1,
  ""
)</f>
        <v/>
      </c>
    </row>
    <row r="35" spans="2:9" x14ac:dyDescent="0.25">
      <c r="B35" s="2">
        <f t="shared" si="0"/>
        <v>2025</v>
      </c>
      <c r="C35" s="2" t="str">
        <f t="shared" si="1"/>
        <v>August</v>
      </c>
      <c r="D35" s="2" t="str">
        <f t="shared" si="2"/>
        <v>Sunday</v>
      </c>
      <c r="E35" s="4">
        <v>45872</v>
      </c>
      <c r="H35" s="3" t="str">
        <f>IF(OR(Table1[[#This Row],[US Holiday]]&lt;&gt;"", Table1[[#This Row],[India Holiday]]&lt;&gt;""), "Yes", "No")</f>
        <v>No</v>
      </c>
      <c r="I35" s="2" t="str">
        <f>IF(
  AND(
    WORKDAY(E35-1,1)=E35,
    _xlfn.CONCAT(F35:G35)=""
  ),
  _xlfn.MAXIFS(I$2:I34,C$2:C34,C35,B$2:B34,B35)+1,
  ""
)</f>
        <v/>
      </c>
    </row>
    <row r="36" spans="2:9" x14ac:dyDescent="0.25">
      <c r="B36" s="2">
        <f t="shared" si="0"/>
        <v>2025</v>
      </c>
      <c r="C36" s="2" t="str">
        <f t="shared" si="1"/>
        <v>August</v>
      </c>
      <c r="D36" s="2" t="str">
        <f t="shared" si="2"/>
        <v>Monday</v>
      </c>
      <c r="E36" s="4">
        <v>45873</v>
      </c>
      <c r="H36" s="3" t="str">
        <f>IF(OR(Table1[[#This Row],[US Holiday]]&lt;&gt;"", Table1[[#This Row],[India Holiday]]&lt;&gt;""), "Yes", "No")</f>
        <v>No</v>
      </c>
      <c r="I36" s="2">
        <f>IF(
  AND(
    WORKDAY(E36-1,1)=E36,
    _xlfn.CONCAT(F36:G36)=""
  ),
  _xlfn.MAXIFS(I$2:I35,C$2:C35,C36,B$2:B35,B36)+1,
  ""
)</f>
        <v>2</v>
      </c>
    </row>
    <row r="37" spans="2:9" x14ac:dyDescent="0.25">
      <c r="B37" s="2">
        <f t="shared" si="0"/>
        <v>2025</v>
      </c>
      <c r="C37" s="2" t="str">
        <f t="shared" si="1"/>
        <v>August</v>
      </c>
      <c r="D37" s="2" t="str">
        <f t="shared" si="2"/>
        <v>Tuesday</v>
      </c>
      <c r="E37" s="4">
        <v>45874</v>
      </c>
      <c r="H37" s="3" t="str">
        <f>IF(OR(Table1[[#This Row],[US Holiday]]&lt;&gt;"", Table1[[#This Row],[India Holiday]]&lt;&gt;""), "Yes", "No")</f>
        <v>No</v>
      </c>
      <c r="I37" s="2">
        <f>IF(
  AND(
    WORKDAY(E37-1,1)=E37,
    _xlfn.CONCAT(F37:G37)=""
  ),
  _xlfn.MAXIFS(I$2:I36,C$2:C36,C37,B$2:B36,B37)+1,
  ""
)</f>
        <v>3</v>
      </c>
    </row>
    <row r="38" spans="2:9" x14ac:dyDescent="0.25">
      <c r="B38" s="2">
        <f t="shared" si="0"/>
        <v>2025</v>
      </c>
      <c r="C38" s="2" t="str">
        <f t="shared" si="1"/>
        <v>August</v>
      </c>
      <c r="D38" s="2" t="str">
        <f t="shared" si="2"/>
        <v>Wednesday</v>
      </c>
      <c r="E38" s="4">
        <v>45875</v>
      </c>
      <c r="H38" s="3" t="str">
        <f>IF(OR(Table1[[#This Row],[US Holiday]]&lt;&gt;"", Table1[[#This Row],[India Holiday]]&lt;&gt;""), "Yes", "No")</f>
        <v>No</v>
      </c>
      <c r="I38" s="2">
        <f>IF(
  AND(
    WORKDAY(E38-1,1)=E38,
    _xlfn.CONCAT(F38:G38)=""
  ),
  _xlfn.MAXIFS(I$2:I37,C$2:C37,C38,B$2:B37,B38)+1,
  ""
)</f>
        <v>4</v>
      </c>
    </row>
    <row r="39" spans="2:9" x14ac:dyDescent="0.25">
      <c r="B39" s="2">
        <f t="shared" si="0"/>
        <v>2025</v>
      </c>
      <c r="C39" s="2" t="str">
        <f t="shared" si="1"/>
        <v>August</v>
      </c>
      <c r="D39" s="2" t="str">
        <f t="shared" si="2"/>
        <v>Thursday</v>
      </c>
      <c r="E39" s="4">
        <v>45876</v>
      </c>
      <c r="H39" s="3" t="str">
        <f>IF(OR(Table1[[#This Row],[US Holiday]]&lt;&gt;"", Table1[[#This Row],[India Holiday]]&lt;&gt;""), "Yes", "No")</f>
        <v>No</v>
      </c>
      <c r="I39" s="2">
        <f>IF(
  AND(
    WORKDAY(E39-1,1)=E39,
    _xlfn.CONCAT(F39:G39)=""
  ),
  _xlfn.MAXIFS(I$2:I38,C$2:C38,C39,B$2:B38,B39)+1,
  ""
)</f>
        <v>5</v>
      </c>
    </row>
    <row r="40" spans="2:9" x14ac:dyDescent="0.25">
      <c r="B40" s="2">
        <f t="shared" si="0"/>
        <v>2025</v>
      </c>
      <c r="C40" s="2" t="str">
        <f t="shared" si="1"/>
        <v>August</v>
      </c>
      <c r="D40" s="2" t="str">
        <f t="shared" si="2"/>
        <v>Friday</v>
      </c>
      <c r="E40" s="4">
        <v>45877</v>
      </c>
      <c r="H40" s="3" t="str">
        <f>IF(OR(Table1[[#This Row],[US Holiday]]&lt;&gt;"", Table1[[#This Row],[India Holiday]]&lt;&gt;""), "Yes", "No")</f>
        <v>No</v>
      </c>
      <c r="I40" s="2">
        <f>IF(
  AND(
    WORKDAY(E40-1,1)=E40,
    _xlfn.CONCAT(F40:G40)=""
  ),
  _xlfn.MAXIFS(I$2:I39,C$2:C39,C40,B$2:B39,B40)+1,
  ""
)</f>
        <v>6</v>
      </c>
    </row>
    <row r="41" spans="2:9" x14ac:dyDescent="0.25">
      <c r="B41" s="2">
        <f t="shared" si="0"/>
        <v>2025</v>
      </c>
      <c r="C41" s="2" t="str">
        <f t="shared" si="1"/>
        <v>August</v>
      </c>
      <c r="D41" s="2" t="str">
        <f t="shared" si="2"/>
        <v>Saturday</v>
      </c>
      <c r="E41" s="4">
        <v>45878</v>
      </c>
      <c r="H41" s="3" t="str">
        <f>IF(OR(Table1[[#This Row],[US Holiday]]&lt;&gt;"", Table1[[#This Row],[India Holiday]]&lt;&gt;""), "Yes", "No")</f>
        <v>No</v>
      </c>
      <c r="I41" s="2" t="str">
        <f>IF(
  AND(
    WORKDAY(E41-1,1)=E41,
    _xlfn.CONCAT(F41:G41)=""
  ),
  _xlfn.MAXIFS(I$2:I40,C$2:C40,C41,B$2:B40,B41)+1,
  ""
)</f>
        <v/>
      </c>
    </row>
    <row r="42" spans="2:9" x14ac:dyDescent="0.25">
      <c r="B42" s="2">
        <f t="shared" si="0"/>
        <v>2025</v>
      </c>
      <c r="C42" s="2" t="str">
        <f t="shared" si="1"/>
        <v>August</v>
      </c>
      <c r="D42" s="2" t="str">
        <f t="shared" si="2"/>
        <v>Sunday</v>
      </c>
      <c r="E42" s="4">
        <v>45879</v>
      </c>
      <c r="H42" s="3" t="str">
        <f>IF(OR(Table1[[#This Row],[US Holiday]]&lt;&gt;"", Table1[[#This Row],[India Holiday]]&lt;&gt;""), "Yes", "No")</f>
        <v>No</v>
      </c>
      <c r="I42" s="2" t="str">
        <f>IF(
  AND(
    WORKDAY(E42-1,1)=E42,
    _xlfn.CONCAT(F42:G42)=""
  ),
  _xlfn.MAXIFS(I$2:I41,C$2:C41,C42,B$2:B41,B42)+1,
  ""
)</f>
        <v/>
      </c>
    </row>
    <row r="43" spans="2:9" x14ac:dyDescent="0.25">
      <c r="B43" s="2">
        <f t="shared" si="0"/>
        <v>2025</v>
      </c>
      <c r="C43" s="2" t="str">
        <f t="shared" si="1"/>
        <v>August</v>
      </c>
      <c r="D43" s="2" t="str">
        <f t="shared" si="2"/>
        <v>Monday</v>
      </c>
      <c r="E43" s="4">
        <v>45880</v>
      </c>
      <c r="H43" s="3" t="str">
        <f>IF(OR(Table1[[#This Row],[US Holiday]]&lt;&gt;"", Table1[[#This Row],[India Holiday]]&lt;&gt;""), "Yes", "No")</f>
        <v>No</v>
      </c>
      <c r="I43" s="2">
        <f>IF(
  AND(
    WORKDAY(E43-1,1)=E43,
    _xlfn.CONCAT(F43:G43)=""
  ),
  _xlfn.MAXIFS(I$2:I42,C$2:C42,C43,B$2:B42,B43)+1,
  ""
)</f>
        <v>7</v>
      </c>
    </row>
    <row r="44" spans="2:9" x14ac:dyDescent="0.25">
      <c r="B44" s="2">
        <f t="shared" si="0"/>
        <v>2025</v>
      </c>
      <c r="C44" s="2" t="str">
        <f t="shared" si="1"/>
        <v>August</v>
      </c>
      <c r="D44" s="2" t="str">
        <f t="shared" si="2"/>
        <v>Tuesday</v>
      </c>
      <c r="E44" s="4">
        <v>45881</v>
      </c>
      <c r="H44" s="3" t="str">
        <f>IF(OR(Table1[[#This Row],[US Holiday]]&lt;&gt;"", Table1[[#This Row],[India Holiday]]&lt;&gt;""), "Yes", "No")</f>
        <v>No</v>
      </c>
      <c r="I44" s="2">
        <f>IF(
  AND(
    WORKDAY(E44-1,1)=E44,
    _xlfn.CONCAT(F44:G44)=""
  ),
  _xlfn.MAXIFS(I$2:I43,C$2:C43,C44,B$2:B43,B44)+1,
  ""
)</f>
        <v>8</v>
      </c>
    </row>
    <row r="45" spans="2:9" x14ac:dyDescent="0.25">
      <c r="B45" s="2">
        <f t="shared" si="0"/>
        <v>2025</v>
      </c>
      <c r="C45" s="2" t="str">
        <f t="shared" si="1"/>
        <v>August</v>
      </c>
      <c r="D45" s="2" t="str">
        <f t="shared" si="2"/>
        <v>Wednesday</v>
      </c>
      <c r="E45" s="4">
        <v>45882</v>
      </c>
      <c r="H45" s="3" t="str">
        <f>IF(OR(Table1[[#This Row],[US Holiday]]&lt;&gt;"", Table1[[#This Row],[India Holiday]]&lt;&gt;""), "Yes", "No")</f>
        <v>No</v>
      </c>
      <c r="I45" s="2">
        <f>IF(
  AND(
    WORKDAY(E45-1,1)=E45,
    _xlfn.CONCAT(F45:G45)=""
  ),
  _xlfn.MAXIFS(I$2:I44,C$2:C44,C45,B$2:B44,B45)+1,
  ""
)</f>
        <v>9</v>
      </c>
    </row>
    <row r="46" spans="2:9" x14ac:dyDescent="0.25">
      <c r="B46" s="2">
        <f t="shared" si="0"/>
        <v>2025</v>
      </c>
      <c r="C46" s="2" t="str">
        <f t="shared" si="1"/>
        <v>August</v>
      </c>
      <c r="D46" s="2" t="str">
        <f t="shared" si="2"/>
        <v>Thursday</v>
      </c>
      <c r="E46" s="4">
        <v>45883</v>
      </c>
      <c r="H46" s="3" t="str">
        <f>IF(OR(Table1[[#This Row],[US Holiday]]&lt;&gt;"", Table1[[#This Row],[India Holiday]]&lt;&gt;""), "Yes", "No")</f>
        <v>No</v>
      </c>
      <c r="I46" s="2">
        <f>IF(
  AND(
    WORKDAY(E46-1,1)=E46,
    _xlfn.CONCAT(F46:G46)=""
  ),
  _xlfn.MAXIFS(I$2:I45,C$2:C45,C46,B$2:B45,B46)+1,
  ""
)</f>
        <v>10</v>
      </c>
    </row>
    <row r="47" spans="2:9" x14ac:dyDescent="0.25">
      <c r="B47" s="2">
        <f t="shared" si="0"/>
        <v>2025</v>
      </c>
      <c r="C47" s="2" t="str">
        <f t="shared" si="1"/>
        <v>August</v>
      </c>
      <c r="D47" s="2" t="str">
        <f t="shared" si="2"/>
        <v>Friday</v>
      </c>
      <c r="E47" s="4">
        <v>45884</v>
      </c>
      <c r="G47" s="2" t="s">
        <v>131</v>
      </c>
      <c r="H47" s="3" t="str">
        <f>IF(OR(Table1[[#This Row],[US Holiday]]&lt;&gt;"", Table1[[#This Row],[India Holiday]]&lt;&gt;""), "Yes", "No")</f>
        <v>Yes</v>
      </c>
      <c r="I47" s="2" t="str">
        <f>IF(
  AND(
    WORKDAY(E47-1,1)=E47,
    _xlfn.CONCAT(F47:G47)=""
  ),
  _xlfn.MAXIFS(I$2:I46,C$2:C46,C47,B$2:B46,B47)+1,
  ""
)</f>
        <v/>
      </c>
    </row>
    <row r="48" spans="2:9" x14ac:dyDescent="0.25">
      <c r="B48" s="2">
        <f t="shared" si="0"/>
        <v>2025</v>
      </c>
      <c r="C48" s="2" t="str">
        <f t="shared" si="1"/>
        <v>August</v>
      </c>
      <c r="D48" s="2" t="str">
        <f t="shared" si="2"/>
        <v>Saturday</v>
      </c>
      <c r="E48" s="4">
        <v>45885</v>
      </c>
      <c r="H48" s="3" t="str">
        <f>IF(OR(Table1[[#This Row],[US Holiday]]&lt;&gt;"", Table1[[#This Row],[India Holiday]]&lt;&gt;""), "Yes", "No")</f>
        <v>No</v>
      </c>
      <c r="I48" s="2" t="str">
        <f>IF(
  AND(
    WORKDAY(E48-1,1)=E48,
    _xlfn.CONCAT(F48:G48)=""
  ),
  _xlfn.MAXIFS(I$2:I47,C$2:C47,C48,B$2:B47,B48)+1,
  ""
)</f>
        <v/>
      </c>
    </row>
    <row r="49" spans="2:9" x14ac:dyDescent="0.25">
      <c r="B49" s="2">
        <f t="shared" si="0"/>
        <v>2025</v>
      </c>
      <c r="C49" s="2" t="str">
        <f t="shared" si="1"/>
        <v>August</v>
      </c>
      <c r="D49" s="2" t="str">
        <f t="shared" si="2"/>
        <v>Sunday</v>
      </c>
      <c r="E49" s="4">
        <v>45886</v>
      </c>
      <c r="H49" s="3" t="str">
        <f>IF(OR(Table1[[#This Row],[US Holiday]]&lt;&gt;"", Table1[[#This Row],[India Holiday]]&lt;&gt;""), "Yes", "No")</f>
        <v>No</v>
      </c>
      <c r="I49" s="2" t="str">
        <f>IF(
  AND(
    WORKDAY(E49-1,1)=E49,
    _xlfn.CONCAT(F49:G49)=""
  ),
  _xlfn.MAXIFS(I$2:I48,C$2:C48,C49,B$2:B48,B49)+1,
  ""
)</f>
        <v/>
      </c>
    </row>
    <row r="50" spans="2:9" x14ac:dyDescent="0.25">
      <c r="B50" s="2">
        <f t="shared" si="0"/>
        <v>2025</v>
      </c>
      <c r="C50" s="2" t="str">
        <f t="shared" si="1"/>
        <v>August</v>
      </c>
      <c r="D50" s="2" t="str">
        <f t="shared" si="2"/>
        <v>Monday</v>
      </c>
      <c r="E50" s="4">
        <v>45887</v>
      </c>
      <c r="H50" s="3" t="str">
        <f>IF(OR(Table1[[#This Row],[US Holiday]]&lt;&gt;"", Table1[[#This Row],[India Holiday]]&lt;&gt;""), "Yes", "No")</f>
        <v>No</v>
      </c>
      <c r="I50" s="2">
        <f>IF(
  AND(
    WORKDAY(E50-1,1)=E50,
    _xlfn.CONCAT(F50:G50)=""
  ),
  _xlfn.MAXIFS(I$2:I49,C$2:C49,C50,B$2:B49,B50)+1,
  ""
)</f>
        <v>11</v>
      </c>
    </row>
    <row r="51" spans="2:9" x14ac:dyDescent="0.25">
      <c r="B51" s="2">
        <f t="shared" si="0"/>
        <v>2025</v>
      </c>
      <c r="C51" s="2" t="str">
        <f t="shared" si="1"/>
        <v>August</v>
      </c>
      <c r="D51" s="2" t="str">
        <f t="shared" si="2"/>
        <v>Tuesday</v>
      </c>
      <c r="E51" s="4">
        <v>45888</v>
      </c>
      <c r="H51" s="3" t="str">
        <f>IF(OR(Table1[[#This Row],[US Holiday]]&lt;&gt;"", Table1[[#This Row],[India Holiday]]&lt;&gt;""), "Yes", "No")</f>
        <v>No</v>
      </c>
      <c r="I51" s="2">
        <f>IF(
  AND(
    WORKDAY(E51-1,1)=E51,
    _xlfn.CONCAT(F51:G51)=""
  ),
  _xlfn.MAXIFS(I$2:I50,C$2:C50,C51,B$2:B50,B51)+1,
  ""
)</f>
        <v>12</v>
      </c>
    </row>
    <row r="52" spans="2:9" x14ac:dyDescent="0.25">
      <c r="B52" s="2">
        <f t="shared" si="0"/>
        <v>2025</v>
      </c>
      <c r="C52" s="2" t="str">
        <f t="shared" si="1"/>
        <v>August</v>
      </c>
      <c r="D52" s="2" t="str">
        <f t="shared" si="2"/>
        <v>Wednesday</v>
      </c>
      <c r="E52" s="4">
        <v>45889</v>
      </c>
      <c r="H52" s="3" t="str">
        <f>IF(OR(Table1[[#This Row],[US Holiday]]&lt;&gt;"", Table1[[#This Row],[India Holiday]]&lt;&gt;""), "Yes", "No")</f>
        <v>No</v>
      </c>
      <c r="I52" s="2">
        <f>IF(
  AND(
    WORKDAY(E52-1,1)=E52,
    _xlfn.CONCAT(F52:G52)=""
  ),
  _xlfn.MAXIFS(I$2:I51,C$2:C51,C52,B$2:B51,B52)+1,
  ""
)</f>
        <v>13</v>
      </c>
    </row>
    <row r="53" spans="2:9" x14ac:dyDescent="0.25">
      <c r="B53" s="2">
        <f t="shared" si="0"/>
        <v>2025</v>
      </c>
      <c r="C53" s="2" t="str">
        <f t="shared" si="1"/>
        <v>August</v>
      </c>
      <c r="D53" s="2" t="str">
        <f t="shared" si="2"/>
        <v>Thursday</v>
      </c>
      <c r="E53" s="4">
        <v>45890</v>
      </c>
      <c r="H53" s="3" t="str">
        <f>IF(OR(Table1[[#This Row],[US Holiday]]&lt;&gt;"", Table1[[#This Row],[India Holiday]]&lt;&gt;""), "Yes", "No")</f>
        <v>No</v>
      </c>
      <c r="I53" s="2">
        <f>IF(
  AND(
    WORKDAY(E53-1,1)=E53,
    _xlfn.CONCAT(F53:G53)=""
  ),
  _xlfn.MAXIFS(I$2:I52,C$2:C52,C53,B$2:B52,B53)+1,
  ""
)</f>
        <v>14</v>
      </c>
    </row>
    <row r="54" spans="2:9" x14ac:dyDescent="0.25">
      <c r="B54" s="2">
        <f t="shared" si="0"/>
        <v>2025</v>
      </c>
      <c r="C54" s="2" t="str">
        <f t="shared" si="1"/>
        <v>August</v>
      </c>
      <c r="D54" s="2" t="str">
        <f t="shared" si="2"/>
        <v>Friday</v>
      </c>
      <c r="E54" s="4">
        <v>45891</v>
      </c>
      <c r="H54" s="3" t="str">
        <f>IF(OR(Table1[[#This Row],[US Holiday]]&lt;&gt;"", Table1[[#This Row],[India Holiday]]&lt;&gt;""), "Yes", "No")</f>
        <v>No</v>
      </c>
      <c r="I54" s="2">
        <f>IF(
  AND(
    WORKDAY(E54-1,1)=E54,
    _xlfn.CONCAT(F54:G54)=""
  ),
  _xlfn.MAXIFS(I$2:I53,C$2:C53,C54,B$2:B53,B54)+1,
  ""
)</f>
        <v>15</v>
      </c>
    </row>
    <row r="55" spans="2:9" x14ac:dyDescent="0.25">
      <c r="B55" s="2">
        <f t="shared" si="0"/>
        <v>2025</v>
      </c>
      <c r="C55" s="2" t="str">
        <f t="shared" si="1"/>
        <v>August</v>
      </c>
      <c r="D55" s="2" t="str">
        <f t="shared" si="2"/>
        <v>Saturday</v>
      </c>
      <c r="E55" s="4">
        <v>45892</v>
      </c>
      <c r="H55" s="3" t="str">
        <f>IF(OR(Table1[[#This Row],[US Holiday]]&lt;&gt;"", Table1[[#This Row],[India Holiday]]&lt;&gt;""), "Yes", "No")</f>
        <v>No</v>
      </c>
      <c r="I55" s="2" t="str">
        <f>IF(
  AND(
    WORKDAY(E55-1,1)=E55,
    _xlfn.CONCAT(F55:G55)=""
  ),
  _xlfn.MAXIFS(I$2:I54,C$2:C54,C55,B$2:B54,B55)+1,
  ""
)</f>
        <v/>
      </c>
    </row>
    <row r="56" spans="2:9" x14ac:dyDescent="0.25">
      <c r="B56" s="2">
        <f t="shared" si="0"/>
        <v>2025</v>
      </c>
      <c r="C56" s="2" t="str">
        <f t="shared" si="1"/>
        <v>August</v>
      </c>
      <c r="D56" s="2" t="str">
        <f t="shared" si="2"/>
        <v>Sunday</v>
      </c>
      <c r="E56" s="4">
        <v>45893</v>
      </c>
      <c r="H56" s="3" t="str">
        <f>IF(OR(Table1[[#This Row],[US Holiday]]&lt;&gt;"", Table1[[#This Row],[India Holiday]]&lt;&gt;""), "Yes", "No")</f>
        <v>No</v>
      </c>
      <c r="I56" s="2" t="str">
        <f>IF(
  AND(
    WORKDAY(E56-1,1)=E56,
    _xlfn.CONCAT(F56:G56)=""
  ),
  _xlfn.MAXIFS(I$2:I55,C$2:C55,C56,B$2:B55,B56)+1,
  ""
)</f>
        <v/>
      </c>
    </row>
    <row r="57" spans="2:9" x14ac:dyDescent="0.25">
      <c r="B57" s="2">
        <f t="shared" si="0"/>
        <v>2025</v>
      </c>
      <c r="C57" s="2" t="str">
        <f t="shared" si="1"/>
        <v>August</v>
      </c>
      <c r="D57" s="2" t="str">
        <f t="shared" si="2"/>
        <v>Monday</v>
      </c>
      <c r="E57" s="4">
        <v>45894</v>
      </c>
      <c r="H57" s="3" t="str">
        <f>IF(OR(Table1[[#This Row],[US Holiday]]&lt;&gt;"", Table1[[#This Row],[India Holiday]]&lt;&gt;""), "Yes", "No")</f>
        <v>No</v>
      </c>
      <c r="I57" s="2">
        <f>IF(
  AND(
    WORKDAY(E57-1,1)=E57,
    _xlfn.CONCAT(F57:G57)=""
  ),
  _xlfn.MAXIFS(I$2:I56,C$2:C56,C57,B$2:B56,B57)+1,
  ""
)</f>
        <v>16</v>
      </c>
    </row>
    <row r="58" spans="2:9" x14ac:dyDescent="0.25">
      <c r="B58" s="2">
        <f t="shared" si="0"/>
        <v>2025</v>
      </c>
      <c r="C58" s="2" t="str">
        <f t="shared" si="1"/>
        <v>August</v>
      </c>
      <c r="D58" s="2" t="str">
        <f t="shared" si="2"/>
        <v>Tuesday</v>
      </c>
      <c r="E58" s="4">
        <v>45895</v>
      </c>
      <c r="H58" s="3" t="str">
        <f>IF(OR(Table1[[#This Row],[US Holiday]]&lt;&gt;"", Table1[[#This Row],[India Holiday]]&lt;&gt;""), "Yes", "No")</f>
        <v>No</v>
      </c>
      <c r="I58" s="2">
        <f>IF(
  AND(
    WORKDAY(E58-1,1)=E58,
    _xlfn.CONCAT(F58:G58)=""
  ),
  _xlfn.MAXIFS(I$2:I57,C$2:C57,C58,B$2:B57,B58)+1,
  ""
)</f>
        <v>17</v>
      </c>
    </row>
    <row r="59" spans="2:9" x14ac:dyDescent="0.25">
      <c r="B59" s="2">
        <f t="shared" si="0"/>
        <v>2025</v>
      </c>
      <c r="C59" s="2" t="str">
        <f t="shared" si="1"/>
        <v>August</v>
      </c>
      <c r="D59" s="2" t="str">
        <f t="shared" si="2"/>
        <v>Wednesday</v>
      </c>
      <c r="E59" s="4">
        <v>45896</v>
      </c>
      <c r="H59" s="3" t="str">
        <f>IF(OR(Table1[[#This Row],[US Holiday]]&lt;&gt;"", Table1[[#This Row],[India Holiday]]&lt;&gt;""), "Yes", "No")</f>
        <v>No</v>
      </c>
      <c r="I59" s="2">
        <f>IF(
  AND(
    WORKDAY(E59-1,1)=E59,
    _xlfn.CONCAT(F59:G59)=""
  ),
  _xlfn.MAXIFS(I$2:I58,C$2:C58,C59,B$2:B58,B59)+1,
  ""
)</f>
        <v>18</v>
      </c>
    </row>
    <row r="60" spans="2:9" x14ac:dyDescent="0.25">
      <c r="B60" s="2">
        <f t="shared" si="0"/>
        <v>2025</v>
      </c>
      <c r="C60" s="2" t="str">
        <f t="shared" si="1"/>
        <v>August</v>
      </c>
      <c r="D60" s="2" t="str">
        <f t="shared" si="2"/>
        <v>Thursday</v>
      </c>
      <c r="E60" s="4">
        <v>45897</v>
      </c>
      <c r="H60" s="3" t="str">
        <f>IF(OR(Table1[[#This Row],[US Holiday]]&lt;&gt;"", Table1[[#This Row],[India Holiday]]&lt;&gt;""), "Yes", "No")</f>
        <v>No</v>
      </c>
      <c r="I60" s="2">
        <f>IF(
  AND(
    WORKDAY(E60-1,1)=E60,
    _xlfn.CONCAT(F60:G60)=""
  ),
  _xlfn.MAXIFS(I$2:I59,C$2:C59,C60,B$2:B59,B60)+1,
  ""
)</f>
        <v>19</v>
      </c>
    </row>
    <row r="61" spans="2:9" x14ac:dyDescent="0.25">
      <c r="B61" s="2">
        <f t="shared" si="0"/>
        <v>2025</v>
      </c>
      <c r="C61" s="2" t="str">
        <f t="shared" si="1"/>
        <v>August</v>
      </c>
      <c r="D61" s="2" t="str">
        <f t="shared" si="2"/>
        <v>Friday</v>
      </c>
      <c r="E61" s="4">
        <v>45898</v>
      </c>
      <c r="H61" s="3" t="str">
        <f>IF(OR(Table1[[#This Row],[US Holiday]]&lt;&gt;"", Table1[[#This Row],[India Holiday]]&lt;&gt;""), "Yes", "No")</f>
        <v>No</v>
      </c>
      <c r="I61" s="2">
        <f>IF(
  AND(
    WORKDAY(E61-1,1)=E61,
    _xlfn.CONCAT(F61:G61)=""
  ),
  _xlfn.MAXIFS(I$2:I60,C$2:C60,C61,B$2:B60,B61)+1,
  ""
)</f>
        <v>20</v>
      </c>
    </row>
    <row r="62" spans="2:9" x14ac:dyDescent="0.25">
      <c r="B62" s="2">
        <f t="shared" si="0"/>
        <v>2025</v>
      </c>
      <c r="C62" s="2" t="str">
        <f t="shared" si="1"/>
        <v>August</v>
      </c>
      <c r="D62" s="2" t="str">
        <f t="shared" si="2"/>
        <v>Saturday</v>
      </c>
      <c r="E62" s="4">
        <v>45899</v>
      </c>
      <c r="H62" s="3" t="str">
        <f>IF(OR(Table1[[#This Row],[US Holiday]]&lt;&gt;"", Table1[[#This Row],[India Holiday]]&lt;&gt;""), "Yes", "No")</f>
        <v>No</v>
      </c>
      <c r="I62" s="2" t="str">
        <f>IF(
  AND(
    WORKDAY(E62-1,1)=E62,
    _xlfn.CONCAT(F62:G62)=""
  ),
  _xlfn.MAXIFS(I$2:I61,C$2:C61,C62,B$2:B61,B62)+1,
  ""
)</f>
        <v/>
      </c>
    </row>
    <row r="63" spans="2:9" x14ac:dyDescent="0.25">
      <c r="B63" s="2">
        <f t="shared" si="0"/>
        <v>2025</v>
      </c>
      <c r="C63" s="2" t="str">
        <f t="shared" si="1"/>
        <v>August</v>
      </c>
      <c r="D63" s="2" t="str">
        <f t="shared" si="2"/>
        <v>Sunday</v>
      </c>
      <c r="E63" s="4">
        <v>45900</v>
      </c>
      <c r="H63" s="3" t="str">
        <f>IF(OR(Table1[[#This Row],[US Holiday]]&lt;&gt;"", Table1[[#This Row],[India Holiday]]&lt;&gt;""), "Yes", "No")</f>
        <v>No</v>
      </c>
      <c r="I63" s="2" t="str">
        <f>IF(
  AND(
    WORKDAY(E63-1,1)=E63,
    _xlfn.CONCAT(F63:G63)=""
  ),
  _xlfn.MAXIFS(I$2:I62,C$2:C62,C63,B$2:B62,B63)+1,
  ""
)</f>
        <v/>
      </c>
    </row>
    <row r="64" spans="2:9" x14ac:dyDescent="0.25">
      <c r="B64" s="2">
        <f t="shared" si="0"/>
        <v>2025</v>
      </c>
      <c r="C64" s="2" t="str">
        <f t="shared" si="1"/>
        <v>September</v>
      </c>
      <c r="D64" s="2" t="str">
        <f t="shared" si="2"/>
        <v>Monday</v>
      </c>
      <c r="E64" s="4">
        <v>45901</v>
      </c>
      <c r="F64" s="65" t="s">
        <v>123</v>
      </c>
      <c r="G64" s="65"/>
      <c r="H64" s="65" t="str">
        <f>IF(OR(Table1[[#This Row],[US Holiday]]&lt;&gt;"", Table1[[#This Row],[India Holiday]]&lt;&gt;""), "Yes", "No")</f>
        <v>Yes</v>
      </c>
      <c r="I64" s="2" t="str">
        <f>IF(
  AND(
    WORKDAY(E64-1,1)=E64,
    _xlfn.CONCAT(F64:G64)=""
  ),
  _xlfn.MAXIFS(I$2:I63,C$2:C63,C64,B$2:B63,B64)+1,
  ""
)</f>
        <v/>
      </c>
    </row>
    <row r="65" spans="2:9" x14ac:dyDescent="0.25">
      <c r="B65" s="2">
        <f t="shared" si="0"/>
        <v>2025</v>
      </c>
      <c r="C65" s="2" t="str">
        <f t="shared" si="1"/>
        <v>September</v>
      </c>
      <c r="D65" s="2" t="str">
        <f t="shared" si="2"/>
        <v>Tuesday</v>
      </c>
      <c r="E65" s="4">
        <v>45902</v>
      </c>
      <c r="H65" s="3" t="str">
        <f>IF(OR(Table1[[#This Row],[US Holiday]]&lt;&gt;"", Table1[[#This Row],[India Holiday]]&lt;&gt;""), "Yes", "No")</f>
        <v>No</v>
      </c>
      <c r="I65" s="2">
        <f>IF(
  AND(
    WORKDAY(E65-1,1)=E65,
    _xlfn.CONCAT(F65:G65)=""
  ),
  _xlfn.MAXIFS(I$2:I64,C$2:C64,C65,B$2:B64,B65)+1,
  ""
)</f>
        <v>1</v>
      </c>
    </row>
    <row r="66" spans="2:9" x14ac:dyDescent="0.25">
      <c r="B66" s="2">
        <f t="shared" si="0"/>
        <v>2025</v>
      </c>
      <c r="C66" s="2" t="str">
        <f t="shared" si="1"/>
        <v>September</v>
      </c>
      <c r="D66" s="2" t="str">
        <f t="shared" si="2"/>
        <v>Wednesday</v>
      </c>
      <c r="E66" s="4">
        <v>45903</v>
      </c>
      <c r="H66" s="3" t="str">
        <f>IF(OR(Table1[[#This Row],[US Holiday]]&lt;&gt;"", Table1[[#This Row],[India Holiday]]&lt;&gt;""), "Yes", "No")</f>
        <v>No</v>
      </c>
      <c r="I66" s="2">
        <f>IF(
  AND(
    WORKDAY(E66-1,1)=E66,
    _xlfn.CONCAT(F66:G66)=""
  ),
  _xlfn.MAXIFS(I$2:I65,C$2:C65,C66,B$2:B65,B66)+1,
  ""
)</f>
        <v>2</v>
      </c>
    </row>
    <row r="67" spans="2:9" x14ac:dyDescent="0.25">
      <c r="B67" s="2">
        <f t="shared" ref="B67:B130" si="3">YEAR(E67)</f>
        <v>2025</v>
      </c>
      <c r="C67" s="2" t="str">
        <f t="shared" ref="C67:C130" si="4">TEXT(E67,"mmmm")</f>
        <v>September</v>
      </c>
      <c r="D67" s="2" t="str">
        <f t="shared" ref="D67:D130" si="5">TEXT(E67,"dddd")</f>
        <v>Thursday</v>
      </c>
      <c r="E67" s="4">
        <v>45904</v>
      </c>
      <c r="H67" s="3" t="str">
        <f>IF(OR(Table1[[#This Row],[US Holiday]]&lt;&gt;"", Table1[[#This Row],[India Holiday]]&lt;&gt;""), "Yes", "No")</f>
        <v>No</v>
      </c>
      <c r="I67" s="2">
        <f>IF(
  AND(
    WORKDAY(E67-1,1)=E67,
    _xlfn.CONCAT(F67:G67)=""
  ),
  _xlfn.MAXIFS(I$2:I66,C$2:C66,C67,B$2:B66,B67)+1,
  ""
)</f>
        <v>3</v>
      </c>
    </row>
    <row r="68" spans="2:9" x14ac:dyDescent="0.25">
      <c r="B68" s="2">
        <f t="shared" si="3"/>
        <v>2025</v>
      </c>
      <c r="C68" s="2" t="str">
        <f t="shared" si="4"/>
        <v>September</v>
      </c>
      <c r="D68" s="2" t="str">
        <f t="shared" si="5"/>
        <v>Friday</v>
      </c>
      <c r="E68" s="4">
        <v>45905</v>
      </c>
      <c r="H68" s="3" t="str">
        <f>IF(OR(Table1[[#This Row],[US Holiday]]&lt;&gt;"", Table1[[#This Row],[India Holiday]]&lt;&gt;""), "Yes", "No")</f>
        <v>No</v>
      </c>
      <c r="I68" s="2">
        <f>IF(
  AND(
    WORKDAY(E68-1,1)=E68,
    _xlfn.CONCAT(F68:G68)=""
  ),
  _xlfn.MAXIFS(I$2:I67,C$2:C67,C68,B$2:B67,B68)+1,
  ""
)</f>
        <v>4</v>
      </c>
    </row>
    <row r="69" spans="2:9" x14ac:dyDescent="0.25">
      <c r="B69" s="2">
        <f t="shared" si="3"/>
        <v>2025</v>
      </c>
      <c r="C69" s="2" t="str">
        <f t="shared" si="4"/>
        <v>September</v>
      </c>
      <c r="D69" s="2" t="str">
        <f t="shared" si="5"/>
        <v>Saturday</v>
      </c>
      <c r="E69" s="4">
        <v>45906</v>
      </c>
      <c r="H69" s="3" t="str">
        <f>IF(OR(Table1[[#This Row],[US Holiday]]&lt;&gt;"", Table1[[#This Row],[India Holiday]]&lt;&gt;""), "Yes", "No")</f>
        <v>No</v>
      </c>
      <c r="I69" s="2" t="str">
        <f>IF(
  AND(
    WORKDAY(E69-1,1)=E69,
    _xlfn.CONCAT(F69:G69)=""
  ),
  _xlfn.MAXIFS(I$2:I68,C$2:C68,C69,B$2:B68,B69)+1,
  ""
)</f>
        <v/>
      </c>
    </row>
    <row r="70" spans="2:9" x14ac:dyDescent="0.25">
      <c r="B70" s="2">
        <f t="shared" si="3"/>
        <v>2025</v>
      </c>
      <c r="C70" s="2" t="str">
        <f t="shared" si="4"/>
        <v>September</v>
      </c>
      <c r="D70" s="2" t="str">
        <f t="shared" si="5"/>
        <v>Sunday</v>
      </c>
      <c r="E70" s="4">
        <v>45907</v>
      </c>
      <c r="H70" s="3" t="str">
        <f>IF(OR(Table1[[#This Row],[US Holiday]]&lt;&gt;"", Table1[[#This Row],[India Holiday]]&lt;&gt;""), "Yes", "No")</f>
        <v>No</v>
      </c>
      <c r="I70" s="2" t="str">
        <f>IF(
  AND(
    WORKDAY(E70-1,1)=E70,
    _xlfn.CONCAT(F70:G70)=""
  ),
  _xlfn.MAXIFS(I$2:I69,C$2:C69,C70,B$2:B69,B70)+1,
  ""
)</f>
        <v/>
      </c>
    </row>
    <row r="71" spans="2:9" x14ac:dyDescent="0.25">
      <c r="B71" s="2">
        <f t="shared" si="3"/>
        <v>2025</v>
      </c>
      <c r="C71" s="2" t="str">
        <f t="shared" si="4"/>
        <v>September</v>
      </c>
      <c r="D71" s="2" t="str">
        <f t="shared" si="5"/>
        <v>Monday</v>
      </c>
      <c r="E71" s="4">
        <v>45908</v>
      </c>
      <c r="H71" s="3" t="str">
        <f>IF(OR(Table1[[#This Row],[US Holiday]]&lt;&gt;"", Table1[[#This Row],[India Holiday]]&lt;&gt;""), "Yes", "No")</f>
        <v>No</v>
      </c>
      <c r="I71" s="2">
        <f>IF(
  AND(
    WORKDAY(E71-1,1)=E71,
    _xlfn.CONCAT(F71:G71)=""
  ),
  _xlfn.MAXIFS(I$2:I70,C$2:C70,C71,B$2:B70,B71)+1,
  ""
)</f>
        <v>5</v>
      </c>
    </row>
    <row r="72" spans="2:9" x14ac:dyDescent="0.25">
      <c r="B72" s="2">
        <f t="shared" si="3"/>
        <v>2025</v>
      </c>
      <c r="C72" s="2" t="str">
        <f t="shared" si="4"/>
        <v>September</v>
      </c>
      <c r="D72" s="2" t="str">
        <f t="shared" si="5"/>
        <v>Tuesday</v>
      </c>
      <c r="E72" s="4">
        <v>45909</v>
      </c>
      <c r="H72" s="3" t="str">
        <f>IF(OR(Table1[[#This Row],[US Holiday]]&lt;&gt;"", Table1[[#This Row],[India Holiday]]&lt;&gt;""), "Yes", "No")</f>
        <v>No</v>
      </c>
      <c r="I72" s="2">
        <f>IF(
  AND(
    WORKDAY(E72-1,1)=E72,
    _xlfn.CONCAT(F72:G72)=""
  ),
  _xlfn.MAXIFS(I$2:I71,C$2:C71,C72,B$2:B71,B72)+1,
  ""
)</f>
        <v>6</v>
      </c>
    </row>
    <row r="73" spans="2:9" x14ac:dyDescent="0.25">
      <c r="B73" s="2">
        <f t="shared" si="3"/>
        <v>2025</v>
      </c>
      <c r="C73" s="2" t="str">
        <f t="shared" si="4"/>
        <v>September</v>
      </c>
      <c r="D73" s="2" t="str">
        <f t="shared" si="5"/>
        <v>Wednesday</v>
      </c>
      <c r="E73" s="4">
        <v>45910</v>
      </c>
      <c r="H73" s="3" t="str">
        <f>IF(OR(Table1[[#This Row],[US Holiday]]&lt;&gt;"", Table1[[#This Row],[India Holiday]]&lt;&gt;""), "Yes", "No")</f>
        <v>No</v>
      </c>
      <c r="I73" s="2">
        <f>IF(
  AND(
    WORKDAY(E73-1,1)=E73,
    _xlfn.CONCAT(F73:G73)=""
  ),
  _xlfn.MAXIFS(I$2:I72,C$2:C72,C73,B$2:B72,B73)+1,
  ""
)</f>
        <v>7</v>
      </c>
    </row>
    <row r="74" spans="2:9" x14ac:dyDescent="0.25">
      <c r="B74" s="2">
        <f t="shared" si="3"/>
        <v>2025</v>
      </c>
      <c r="C74" s="2" t="str">
        <f t="shared" si="4"/>
        <v>September</v>
      </c>
      <c r="D74" s="2" t="str">
        <f t="shared" si="5"/>
        <v>Thursday</v>
      </c>
      <c r="E74" s="4">
        <v>45911</v>
      </c>
      <c r="F74" s="2" t="s">
        <v>126</v>
      </c>
      <c r="H74" s="3" t="str">
        <f>IF(OR(Table1[[#This Row],[US Holiday]]&lt;&gt;"", Table1[[#This Row],[India Holiday]]&lt;&gt;""), "Yes", "No")</f>
        <v>Yes</v>
      </c>
      <c r="I74" s="2" t="str">
        <f>IF(
  AND(
    WORKDAY(E74-1,1)=E74,
    _xlfn.CONCAT(F74:G74)=""
  ),
  _xlfn.MAXIFS(I$2:I73,C$2:C73,C74,B$2:B73,B74)+1,
  ""
)</f>
        <v/>
      </c>
    </row>
    <row r="75" spans="2:9" x14ac:dyDescent="0.25">
      <c r="B75" s="2">
        <f t="shared" si="3"/>
        <v>2025</v>
      </c>
      <c r="C75" s="2" t="str">
        <f t="shared" si="4"/>
        <v>September</v>
      </c>
      <c r="D75" s="2" t="str">
        <f t="shared" si="5"/>
        <v>Friday</v>
      </c>
      <c r="E75" s="4">
        <v>45912</v>
      </c>
      <c r="F75" s="2" t="s">
        <v>126</v>
      </c>
      <c r="H75" s="3" t="str">
        <f>IF(OR(Table1[[#This Row],[US Holiday]]&lt;&gt;"", Table1[[#This Row],[India Holiday]]&lt;&gt;""), "Yes", "No")</f>
        <v>Yes</v>
      </c>
      <c r="I75" s="2" t="str">
        <f>IF(
  AND(
    WORKDAY(E75-1,1)=E75,
    _xlfn.CONCAT(F75:G75)=""
  ),
  _xlfn.MAXIFS(I$2:I74,C$2:C74,C75,B$2:B74,B75)+1,
  ""
)</f>
        <v/>
      </c>
    </row>
    <row r="76" spans="2:9" x14ac:dyDescent="0.25">
      <c r="B76" s="2">
        <f t="shared" si="3"/>
        <v>2025</v>
      </c>
      <c r="C76" s="2" t="str">
        <f t="shared" si="4"/>
        <v>September</v>
      </c>
      <c r="D76" s="2" t="str">
        <f t="shared" si="5"/>
        <v>Saturday</v>
      </c>
      <c r="E76" s="4">
        <v>45913</v>
      </c>
      <c r="H76" s="3" t="str">
        <f>IF(OR(Table1[[#This Row],[US Holiday]]&lt;&gt;"", Table1[[#This Row],[India Holiday]]&lt;&gt;""), "Yes", "No")</f>
        <v>No</v>
      </c>
      <c r="I76" s="2" t="str">
        <f>IF(
  AND(
    WORKDAY(E76-1,1)=E76,
    _xlfn.CONCAT(F76:G76)=""
  ),
  _xlfn.MAXIFS(I$2:I75,C$2:C75,C76,B$2:B75,B76)+1,
  ""
)</f>
        <v/>
      </c>
    </row>
    <row r="77" spans="2:9" x14ac:dyDescent="0.25">
      <c r="B77" s="2">
        <f t="shared" si="3"/>
        <v>2025</v>
      </c>
      <c r="C77" s="2" t="str">
        <f t="shared" si="4"/>
        <v>September</v>
      </c>
      <c r="D77" s="2" t="str">
        <f t="shared" si="5"/>
        <v>Sunday</v>
      </c>
      <c r="E77" s="4">
        <v>45914</v>
      </c>
      <c r="H77" s="3" t="str">
        <f>IF(OR(Table1[[#This Row],[US Holiday]]&lt;&gt;"", Table1[[#This Row],[India Holiday]]&lt;&gt;""), "Yes", "No")</f>
        <v>No</v>
      </c>
      <c r="I77" s="2" t="str">
        <f>IF(
  AND(
    WORKDAY(E77-1,1)=E77,
    _xlfn.CONCAT(F77:G77)=""
  ),
  _xlfn.MAXIFS(I$2:I76,C$2:C76,C77,B$2:B76,B77)+1,
  ""
)</f>
        <v/>
      </c>
    </row>
    <row r="78" spans="2:9" x14ac:dyDescent="0.25">
      <c r="B78" s="2">
        <f t="shared" si="3"/>
        <v>2025</v>
      </c>
      <c r="C78" s="2" t="str">
        <f t="shared" si="4"/>
        <v>September</v>
      </c>
      <c r="D78" s="2" t="str">
        <f t="shared" si="5"/>
        <v>Monday</v>
      </c>
      <c r="E78" s="4">
        <v>45915</v>
      </c>
      <c r="H78" s="3" t="str">
        <f>IF(OR(Table1[[#This Row],[US Holiday]]&lt;&gt;"", Table1[[#This Row],[India Holiday]]&lt;&gt;""), "Yes", "No")</f>
        <v>No</v>
      </c>
      <c r="I78" s="2">
        <f>IF(
  AND(
    WORKDAY(E78-1,1)=E78,
    _xlfn.CONCAT(F78:G78)=""
  ),
  _xlfn.MAXIFS(I$2:I77,C$2:C77,C78,B$2:B77,B78)+1,
  ""
)</f>
        <v>8</v>
      </c>
    </row>
    <row r="79" spans="2:9" x14ac:dyDescent="0.25">
      <c r="B79" s="2">
        <f t="shared" si="3"/>
        <v>2025</v>
      </c>
      <c r="C79" s="2" t="str">
        <f t="shared" si="4"/>
        <v>September</v>
      </c>
      <c r="D79" s="2" t="str">
        <f t="shared" si="5"/>
        <v>Tuesday</v>
      </c>
      <c r="E79" s="4">
        <v>45916</v>
      </c>
      <c r="H79" s="3" t="str">
        <f>IF(OR(Table1[[#This Row],[US Holiday]]&lt;&gt;"", Table1[[#This Row],[India Holiday]]&lt;&gt;""), "Yes", "No")</f>
        <v>No</v>
      </c>
      <c r="I79" s="2">
        <f>IF(
  AND(
    WORKDAY(E79-1,1)=E79,
    _xlfn.CONCAT(F79:G79)=""
  ),
  _xlfn.MAXIFS(I$2:I78,C$2:C78,C79,B$2:B78,B79)+1,
  ""
)</f>
        <v>9</v>
      </c>
    </row>
    <row r="80" spans="2:9" x14ac:dyDescent="0.25">
      <c r="B80" s="2">
        <f t="shared" si="3"/>
        <v>2025</v>
      </c>
      <c r="C80" s="2" t="str">
        <f t="shared" si="4"/>
        <v>September</v>
      </c>
      <c r="D80" s="2" t="str">
        <f t="shared" si="5"/>
        <v>Wednesday</v>
      </c>
      <c r="E80" s="4">
        <v>45917</v>
      </c>
      <c r="H80" s="3" t="str">
        <f>IF(OR(Table1[[#This Row],[US Holiday]]&lt;&gt;"", Table1[[#This Row],[India Holiday]]&lt;&gt;""), "Yes", "No")</f>
        <v>No</v>
      </c>
      <c r="I80" s="2">
        <f>IF(
  AND(
    WORKDAY(E80-1,1)=E80,
    _xlfn.CONCAT(F80:G80)=""
  ),
  _xlfn.MAXIFS(I$2:I79,C$2:C79,C80,B$2:B79,B80)+1,
  ""
)</f>
        <v>10</v>
      </c>
    </row>
    <row r="81" spans="2:9" x14ac:dyDescent="0.25">
      <c r="B81" s="2">
        <f t="shared" si="3"/>
        <v>2025</v>
      </c>
      <c r="C81" s="2" t="str">
        <f t="shared" si="4"/>
        <v>September</v>
      </c>
      <c r="D81" s="2" t="str">
        <f t="shared" si="5"/>
        <v>Thursday</v>
      </c>
      <c r="E81" s="4">
        <v>45918</v>
      </c>
      <c r="H81" s="3" t="str">
        <f>IF(OR(Table1[[#This Row],[US Holiday]]&lt;&gt;"", Table1[[#This Row],[India Holiday]]&lt;&gt;""), "Yes", "No")</f>
        <v>No</v>
      </c>
      <c r="I81" s="2">
        <f>IF(
  AND(
    WORKDAY(E81-1,1)=E81,
    _xlfn.CONCAT(F81:G81)=""
  ),
  _xlfn.MAXIFS(I$2:I80,C$2:C80,C81,B$2:B80,B81)+1,
  ""
)</f>
        <v>11</v>
      </c>
    </row>
    <row r="82" spans="2:9" x14ac:dyDescent="0.25">
      <c r="B82" s="2">
        <f t="shared" si="3"/>
        <v>2025</v>
      </c>
      <c r="C82" s="2" t="str">
        <f t="shared" si="4"/>
        <v>September</v>
      </c>
      <c r="D82" s="2" t="str">
        <f t="shared" si="5"/>
        <v>Friday</v>
      </c>
      <c r="E82" s="4">
        <v>45919</v>
      </c>
      <c r="H82" s="3" t="str">
        <f>IF(OR(Table1[[#This Row],[US Holiday]]&lt;&gt;"", Table1[[#This Row],[India Holiday]]&lt;&gt;""), "Yes", "No")</f>
        <v>No</v>
      </c>
      <c r="I82" s="2">
        <f>IF(
  AND(
    WORKDAY(E82-1,1)=E82,
    _xlfn.CONCAT(F82:G82)=""
  ),
  _xlfn.MAXIFS(I$2:I81,C$2:C81,C82,B$2:B81,B82)+1,
  ""
)</f>
        <v>12</v>
      </c>
    </row>
    <row r="83" spans="2:9" x14ac:dyDescent="0.25">
      <c r="B83" s="2">
        <f t="shared" si="3"/>
        <v>2025</v>
      </c>
      <c r="C83" s="2" t="str">
        <f t="shared" si="4"/>
        <v>September</v>
      </c>
      <c r="D83" s="2" t="str">
        <f t="shared" si="5"/>
        <v>Saturday</v>
      </c>
      <c r="E83" s="4">
        <v>45920</v>
      </c>
      <c r="H83" s="3" t="str">
        <f>IF(OR(Table1[[#This Row],[US Holiday]]&lt;&gt;"", Table1[[#This Row],[India Holiday]]&lt;&gt;""), "Yes", "No")</f>
        <v>No</v>
      </c>
      <c r="I83" s="2" t="str">
        <f>IF(
  AND(
    WORKDAY(E83-1,1)=E83,
    _xlfn.CONCAT(F83:G83)=""
  ),
  _xlfn.MAXIFS(I$2:I82,C$2:C82,C83,B$2:B82,B83)+1,
  ""
)</f>
        <v/>
      </c>
    </row>
    <row r="84" spans="2:9" x14ac:dyDescent="0.25">
      <c r="B84" s="2">
        <f t="shared" si="3"/>
        <v>2025</v>
      </c>
      <c r="C84" s="2" t="str">
        <f t="shared" si="4"/>
        <v>September</v>
      </c>
      <c r="D84" s="2" t="str">
        <f t="shared" si="5"/>
        <v>Sunday</v>
      </c>
      <c r="E84" s="4">
        <v>45921</v>
      </c>
      <c r="H84" s="3" t="str">
        <f>IF(OR(Table1[[#This Row],[US Holiday]]&lt;&gt;"", Table1[[#This Row],[India Holiday]]&lt;&gt;""), "Yes", "No")</f>
        <v>No</v>
      </c>
      <c r="I84" s="2" t="str">
        <f>IF(
  AND(
    WORKDAY(E84-1,1)=E84,
    _xlfn.CONCAT(F84:G84)=""
  ),
  _xlfn.MAXIFS(I$2:I83,C$2:C83,C84,B$2:B83,B84)+1,
  ""
)</f>
        <v/>
      </c>
    </row>
    <row r="85" spans="2:9" x14ac:dyDescent="0.25">
      <c r="B85" s="2">
        <f t="shared" si="3"/>
        <v>2025</v>
      </c>
      <c r="C85" s="2" t="str">
        <f t="shared" si="4"/>
        <v>September</v>
      </c>
      <c r="D85" s="2" t="str">
        <f t="shared" si="5"/>
        <v>Monday</v>
      </c>
      <c r="E85" s="4">
        <v>45922</v>
      </c>
      <c r="H85" s="3" t="str">
        <f>IF(OR(Table1[[#This Row],[US Holiday]]&lt;&gt;"", Table1[[#This Row],[India Holiday]]&lt;&gt;""), "Yes", "No")</f>
        <v>No</v>
      </c>
      <c r="I85" s="2">
        <f>IF(
  AND(
    WORKDAY(E85-1,1)=E85,
    _xlfn.CONCAT(F85:G85)=""
  ),
  _xlfn.MAXIFS(I$2:I84,C$2:C84,C85,B$2:B84,B85)+1,
  ""
)</f>
        <v>13</v>
      </c>
    </row>
    <row r="86" spans="2:9" x14ac:dyDescent="0.25">
      <c r="B86" s="2">
        <f t="shared" si="3"/>
        <v>2025</v>
      </c>
      <c r="C86" s="2" t="str">
        <f t="shared" si="4"/>
        <v>September</v>
      </c>
      <c r="D86" s="2" t="str">
        <f t="shared" si="5"/>
        <v>Tuesday</v>
      </c>
      <c r="E86" s="4">
        <v>45923</v>
      </c>
      <c r="H86" s="3" t="str">
        <f>IF(OR(Table1[[#This Row],[US Holiday]]&lt;&gt;"", Table1[[#This Row],[India Holiday]]&lt;&gt;""), "Yes", "No")</f>
        <v>No</v>
      </c>
      <c r="I86" s="2">
        <f>IF(
  AND(
    WORKDAY(E86-1,1)=E86,
    _xlfn.CONCAT(F86:G86)=""
  ),
  _xlfn.MAXIFS(I$2:I85,C$2:C85,C86,B$2:B85,B86)+1,
  ""
)</f>
        <v>14</v>
      </c>
    </row>
    <row r="87" spans="2:9" x14ac:dyDescent="0.25">
      <c r="B87" s="2">
        <f t="shared" si="3"/>
        <v>2025</v>
      </c>
      <c r="C87" s="2" t="str">
        <f t="shared" si="4"/>
        <v>September</v>
      </c>
      <c r="D87" s="2" t="str">
        <f t="shared" si="5"/>
        <v>Wednesday</v>
      </c>
      <c r="E87" s="4">
        <v>45924</v>
      </c>
      <c r="H87" s="3" t="str">
        <f>IF(OR(Table1[[#This Row],[US Holiday]]&lt;&gt;"", Table1[[#This Row],[India Holiday]]&lt;&gt;""), "Yes", "No")</f>
        <v>No</v>
      </c>
      <c r="I87" s="2">
        <f>IF(
  AND(
    WORKDAY(E87-1,1)=E87,
    _xlfn.CONCAT(F87:G87)=""
  ),
  _xlfn.MAXIFS(I$2:I86,C$2:C86,C87,B$2:B86,B87)+1,
  ""
)</f>
        <v>15</v>
      </c>
    </row>
    <row r="88" spans="2:9" x14ac:dyDescent="0.25">
      <c r="B88" s="2">
        <f t="shared" si="3"/>
        <v>2025</v>
      </c>
      <c r="C88" s="2" t="str">
        <f t="shared" si="4"/>
        <v>September</v>
      </c>
      <c r="D88" s="2" t="str">
        <f t="shared" si="5"/>
        <v>Thursday</v>
      </c>
      <c r="E88" s="4">
        <v>45925</v>
      </c>
      <c r="H88" s="3" t="str">
        <f>IF(OR(Table1[[#This Row],[US Holiday]]&lt;&gt;"", Table1[[#This Row],[India Holiday]]&lt;&gt;""), "Yes", "No")</f>
        <v>No</v>
      </c>
      <c r="I88" s="2">
        <f>IF(
  AND(
    WORKDAY(E88-1,1)=E88,
    _xlfn.CONCAT(F88:G88)=""
  ),
  _xlfn.MAXIFS(I$2:I87,C$2:C87,C88,B$2:B87,B88)+1,
  ""
)</f>
        <v>16</v>
      </c>
    </row>
    <row r="89" spans="2:9" x14ac:dyDescent="0.25">
      <c r="B89" s="2">
        <f t="shared" si="3"/>
        <v>2025</v>
      </c>
      <c r="C89" s="2" t="str">
        <f t="shared" si="4"/>
        <v>September</v>
      </c>
      <c r="D89" s="2" t="str">
        <f t="shared" si="5"/>
        <v>Friday</v>
      </c>
      <c r="E89" s="4">
        <v>45926</v>
      </c>
      <c r="H89" s="3" t="str">
        <f>IF(OR(Table1[[#This Row],[US Holiday]]&lt;&gt;"", Table1[[#This Row],[India Holiday]]&lt;&gt;""), "Yes", "No")</f>
        <v>No</v>
      </c>
      <c r="I89" s="2">
        <f>IF(
  AND(
    WORKDAY(E89-1,1)=E89,
    _xlfn.CONCAT(F89:G89)=""
  ),
  _xlfn.MAXIFS(I$2:I88,C$2:C88,C89,B$2:B88,B89)+1,
  ""
)</f>
        <v>17</v>
      </c>
    </row>
    <row r="90" spans="2:9" x14ac:dyDescent="0.25">
      <c r="B90" s="2">
        <f t="shared" si="3"/>
        <v>2025</v>
      </c>
      <c r="C90" s="2" t="str">
        <f t="shared" si="4"/>
        <v>September</v>
      </c>
      <c r="D90" s="2" t="str">
        <f t="shared" si="5"/>
        <v>Saturday</v>
      </c>
      <c r="E90" s="4">
        <v>45927</v>
      </c>
      <c r="H90" s="3" t="str">
        <f>IF(OR(Table1[[#This Row],[US Holiday]]&lt;&gt;"", Table1[[#This Row],[India Holiday]]&lt;&gt;""), "Yes", "No")</f>
        <v>No</v>
      </c>
      <c r="I90" s="2" t="str">
        <f>IF(
  AND(
    WORKDAY(E90-1,1)=E90,
    _xlfn.CONCAT(F90:G90)=""
  ),
  _xlfn.MAXIFS(I$2:I89,C$2:C89,C90,B$2:B89,B90)+1,
  ""
)</f>
        <v/>
      </c>
    </row>
    <row r="91" spans="2:9" x14ac:dyDescent="0.25">
      <c r="B91" s="2">
        <f t="shared" si="3"/>
        <v>2025</v>
      </c>
      <c r="C91" s="2" t="str">
        <f t="shared" si="4"/>
        <v>September</v>
      </c>
      <c r="D91" s="2" t="str">
        <f t="shared" si="5"/>
        <v>Sunday</v>
      </c>
      <c r="E91" s="4">
        <v>45928</v>
      </c>
      <c r="H91" s="3" t="str">
        <f>IF(OR(Table1[[#This Row],[US Holiday]]&lt;&gt;"", Table1[[#This Row],[India Holiday]]&lt;&gt;""), "Yes", "No")</f>
        <v>No</v>
      </c>
      <c r="I91" s="2" t="str">
        <f>IF(
  AND(
    WORKDAY(E91-1,1)=E91,
    _xlfn.CONCAT(F91:G91)=""
  ),
  _xlfn.MAXIFS(I$2:I90,C$2:C90,C91,B$2:B90,B91)+1,
  ""
)</f>
        <v/>
      </c>
    </row>
    <row r="92" spans="2:9" x14ac:dyDescent="0.25">
      <c r="B92" s="2">
        <f t="shared" si="3"/>
        <v>2025</v>
      </c>
      <c r="C92" s="2" t="str">
        <f t="shared" si="4"/>
        <v>September</v>
      </c>
      <c r="D92" s="2" t="str">
        <f t="shared" si="5"/>
        <v>Monday</v>
      </c>
      <c r="E92" s="4">
        <v>45929</v>
      </c>
      <c r="H92" s="3" t="str">
        <f>IF(OR(Table1[[#This Row],[US Holiday]]&lt;&gt;"", Table1[[#This Row],[India Holiday]]&lt;&gt;""), "Yes", "No")</f>
        <v>No</v>
      </c>
      <c r="I92" s="2">
        <f>IF(
  AND(
    WORKDAY(E92-1,1)=E92,
    _xlfn.CONCAT(F92:G92)=""
  ),
  _xlfn.MAXIFS(I$2:I91,C$2:C91,C92,B$2:B91,B92)+1,
  ""
)</f>
        <v>18</v>
      </c>
    </row>
    <row r="93" spans="2:9" x14ac:dyDescent="0.25">
      <c r="B93" s="2">
        <f t="shared" si="3"/>
        <v>2025</v>
      </c>
      <c r="C93" s="2" t="str">
        <f t="shared" si="4"/>
        <v>September</v>
      </c>
      <c r="D93" s="2" t="str">
        <f t="shared" si="5"/>
        <v>Tuesday</v>
      </c>
      <c r="E93" s="4">
        <v>45930</v>
      </c>
      <c r="H93" s="3" t="str">
        <f>IF(OR(Table1[[#This Row],[US Holiday]]&lt;&gt;"", Table1[[#This Row],[India Holiday]]&lt;&gt;""), "Yes", "No")</f>
        <v>No</v>
      </c>
      <c r="I93" s="2">
        <f>IF(
  AND(
    WORKDAY(E93-1,1)=E93,
    _xlfn.CONCAT(F93:G93)=""
  ),
  _xlfn.MAXIFS(I$2:I92,C$2:C92,C93,B$2:B92,B93)+1,
  ""
)</f>
        <v>19</v>
      </c>
    </row>
    <row r="94" spans="2:9" x14ac:dyDescent="0.25">
      <c r="B94" s="2">
        <f t="shared" si="3"/>
        <v>2025</v>
      </c>
      <c r="C94" s="2" t="str">
        <f t="shared" si="4"/>
        <v>October</v>
      </c>
      <c r="D94" s="2" t="str">
        <f t="shared" si="5"/>
        <v>Wednesday</v>
      </c>
      <c r="E94" s="4">
        <v>45931</v>
      </c>
      <c r="H94" s="3" t="str">
        <f>IF(OR(Table1[[#This Row],[US Holiday]]&lt;&gt;"", Table1[[#This Row],[India Holiday]]&lt;&gt;""), "Yes", "No")</f>
        <v>No</v>
      </c>
      <c r="I94" s="2">
        <f>IF(
  AND(
    WORKDAY(E94-1,1)=E94,
    _xlfn.CONCAT(F94:G94)=""
  ),
  _xlfn.MAXIFS(I$2:I93,C$2:C93,C94,B$2:B93,B94)+1,
  ""
)</f>
        <v>1</v>
      </c>
    </row>
    <row r="95" spans="2:9" x14ac:dyDescent="0.25">
      <c r="B95" s="2">
        <f t="shared" si="3"/>
        <v>2025</v>
      </c>
      <c r="C95" s="2" t="str">
        <f t="shared" si="4"/>
        <v>October</v>
      </c>
      <c r="D95" s="2" t="str">
        <f t="shared" si="5"/>
        <v>Thursday</v>
      </c>
      <c r="E95" s="4">
        <v>45932</v>
      </c>
      <c r="G95" s="2" t="s">
        <v>132</v>
      </c>
      <c r="H95" s="3" t="str">
        <f>IF(OR(Table1[[#This Row],[US Holiday]]&lt;&gt;"", Table1[[#This Row],[India Holiday]]&lt;&gt;""), "Yes", "No")</f>
        <v>Yes</v>
      </c>
      <c r="I95" s="2" t="str">
        <f>IF(
  AND(
    WORKDAY(E95-1,1)=E95,
    _xlfn.CONCAT(F95:G95)=""
  ),
  _xlfn.MAXIFS(I$2:I94,C$2:C94,C95,B$2:B94,B95)+1,
  ""
)</f>
        <v/>
      </c>
    </row>
    <row r="96" spans="2:9" x14ac:dyDescent="0.25">
      <c r="B96" s="2">
        <f t="shared" si="3"/>
        <v>2025</v>
      </c>
      <c r="C96" s="2" t="str">
        <f t="shared" si="4"/>
        <v>October</v>
      </c>
      <c r="D96" s="2" t="str">
        <f t="shared" si="5"/>
        <v>Friday</v>
      </c>
      <c r="E96" s="4">
        <v>45933</v>
      </c>
      <c r="H96" s="3" t="str">
        <f>IF(OR(Table1[[#This Row],[US Holiday]]&lt;&gt;"", Table1[[#This Row],[India Holiday]]&lt;&gt;""), "Yes", "No")</f>
        <v>No</v>
      </c>
      <c r="I96" s="2">
        <f>IF(
  AND(
    WORKDAY(E96-1,1)=E96,
    _xlfn.CONCAT(F96:G96)=""
  ),
  _xlfn.MAXIFS(I$2:I95,C$2:C95,C96,B$2:B95,B96)+1,
  ""
)</f>
        <v>2</v>
      </c>
    </row>
    <row r="97" spans="2:9" x14ac:dyDescent="0.25">
      <c r="B97" s="2">
        <f t="shared" si="3"/>
        <v>2025</v>
      </c>
      <c r="C97" s="2" t="str">
        <f t="shared" si="4"/>
        <v>October</v>
      </c>
      <c r="D97" s="2" t="str">
        <f t="shared" si="5"/>
        <v>Saturday</v>
      </c>
      <c r="E97" s="4">
        <v>45934</v>
      </c>
      <c r="H97" s="3" t="str">
        <f>IF(OR(Table1[[#This Row],[US Holiday]]&lt;&gt;"", Table1[[#This Row],[India Holiday]]&lt;&gt;""), "Yes", "No")</f>
        <v>No</v>
      </c>
      <c r="I97" s="2" t="str">
        <f>IF(
  AND(
    WORKDAY(E97-1,1)=E97,
    _xlfn.CONCAT(F97:G97)=""
  ),
  _xlfn.MAXIFS(I$2:I96,C$2:C96,C97,B$2:B96,B97)+1,
  ""
)</f>
        <v/>
      </c>
    </row>
    <row r="98" spans="2:9" x14ac:dyDescent="0.25">
      <c r="B98" s="2">
        <f t="shared" si="3"/>
        <v>2025</v>
      </c>
      <c r="C98" s="2" t="str">
        <f t="shared" si="4"/>
        <v>October</v>
      </c>
      <c r="D98" s="2" t="str">
        <f t="shared" si="5"/>
        <v>Sunday</v>
      </c>
      <c r="E98" s="4">
        <v>45935</v>
      </c>
      <c r="H98" s="3" t="str">
        <f>IF(OR(Table1[[#This Row],[US Holiday]]&lt;&gt;"", Table1[[#This Row],[India Holiday]]&lt;&gt;""), "Yes", "No")</f>
        <v>No</v>
      </c>
      <c r="I98" s="2" t="str">
        <f>IF(
  AND(
    WORKDAY(E98-1,1)=E98,
    _xlfn.CONCAT(F98:G98)=""
  ),
  _xlfn.MAXIFS(I$2:I97,C$2:C97,C98,B$2:B97,B98)+1,
  ""
)</f>
        <v/>
      </c>
    </row>
    <row r="99" spans="2:9" x14ac:dyDescent="0.25">
      <c r="B99" s="2">
        <f t="shared" si="3"/>
        <v>2025</v>
      </c>
      <c r="C99" s="2" t="str">
        <f t="shared" si="4"/>
        <v>October</v>
      </c>
      <c r="D99" s="2" t="str">
        <f t="shared" si="5"/>
        <v>Monday</v>
      </c>
      <c r="E99" s="4">
        <v>45936</v>
      </c>
      <c r="H99" s="3" t="str">
        <f>IF(OR(Table1[[#This Row],[US Holiday]]&lt;&gt;"", Table1[[#This Row],[India Holiday]]&lt;&gt;""), "Yes", "No")</f>
        <v>No</v>
      </c>
      <c r="I99" s="2">
        <f>IF(
  AND(
    WORKDAY(E99-1,1)=E99,
    _xlfn.CONCAT(F99:G99)=""
  ),
  _xlfn.MAXIFS(I$2:I98,C$2:C98,C99,B$2:B98,B99)+1,
  ""
)</f>
        <v>3</v>
      </c>
    </row>
    <row r="100" spans="2:9" x14ac:dyDescent="0.25">
      <c r="B100" s="2">
        <f t="shared" si="3"/>
        <v>2025</v>
      </c>
      <c r="C100" s="2" t="str">
        <f t="shared" si="4"/>
        <v>October</v>
      </c>
      <c r="D100" s="2" t="str">
        <f t="shared" si="5"/>
        <v>Tuesday</v>
      </c>
      <c r="E100" s="4">
        <v>45937</v>
      </c>
      <c r="H100" s="3" t="str">
        <f>IF(OR(Table1[[#This Row],[US Holiday]]&lt;&gt;"", Table1[[#This Row],[India Holiday]]&lt;&gt;""), "Yes", "No")</f>
        <v>No</v>
      </c>
      <c r="I100" s="2">
        <f>IF(
  AND(
    WORKDAY(E100-1,1)=E100,
    _xlfn.CONCAT(F100:G100)=""
  ),
  _xlfn.MAXIFS(I$2:I99,C$2:C99,C100,B$2:B99,B100)+1,
  ""
)</f>
        <v>4</v>
      </c>
    </row>
    <row r="101" spans="2:9" x14ac:dyDescent="0.25">
      <c r="B101" s="2">
        <f t="shared" si="3"/>
        <v>2025</v>
      </c>
      <c r="C101" s="2" t="str">
        <f t="shared" si="4"/>
        <v>October</v>
      </c>
      <c r="D101" s="2" t="str">
        <f t="shared" si="5"/>
        <v>Wednesday</v>
      </c>
      <c r="E101" s="4">
        <v>45938</v>
      </c>
      <c r="H101" s="3" t="str">
        <f>IF(OR(Table1[[#This Row],[US Holiday]]&lt;&gt;"", Table1[[#This Row],[India Holiday]]&lt;&gt;""), "Yes", "No")</f>
        <v>No</v>
      </c>
      <c r="I101" s="2">
        <f>IF(
  AND(
    WORKDAY(E101-1,1)=E101,
    _xlfn.CONCAT(F101:G101)=""
  ),
  _xlfn.MAXIFS(I$2:I100,C$2:C100,C101,B$2:B100,B101)+1,
  ""
)</f>
        <v>5</v>
      </c>
    </row>
    <row r="102" spans="2:9" x14ac:dyDescent="0.25">
      <c r="B102" s="2">
        <f t="shared" si="3"/>
        <v>2025</v>
      </c>
      <c r="C102" s="2" t="str">
        <f t="shared" si="4"/>
        <v>October</v>
      </c>
      <c r="D102" s="2" t="str">
        <f t="shared" si="5"/>
        <v>Thursday</v>
      </c>
      <c r="E102" s="4">
        <v>45939</v>
      </c>
      <c r="H102" s="3" t="str">
        <f>IF(OR(Table1[[#This Row],[US Holiday]]&lt;&gt;"", Table1[[#This Row],[India Holiday]]&lt;&gt;""), "Yes", "No")</f>
        <v>No</v>
      </c>
      <c r="I102" s="2">
        <f>IF(
  AND(
    WORKDAY(E102-1,1)=E102,
    _xlfn.CONCAT(F102:G102)=""
  ),
  _xlfn.MAXIFS(I$2:I101,C$2:C101,C102,B$2:B101,B102)+1,
  ""
)</f>
        <v>6</v>
      </c>
    </row>
    <row r="103" spans="2:9" x14ac:dyDescent="0.25">
      <c r="B103" s="2">
        <f t="shared" si="3"/>
        <v>2025</v>
      </c>
      <c r="C103" s="2" t="str">
        <f t="shared" si="4"/>
        <v>October</v>
      </c>
      <c r="D103" s="2" t="str">
        <f t="shared" si="5"/>
        <v>Friday</v>
      </c>
      <c r="E103" s="4">
        <v>45940</v>
      </c>
      <c r="H103" s="3" t="str">
        <f>IF(OR(Table1[[#This Row],[US Holiday]]&lt;&gt;"", Table1[[#This Row],[India Holiday]]&lt;&gt;""), "Yes", "No")</f>
        <v>No</v>
      </c>
      <c r="I103" s="2">
        <f>IF(
  AND(
    WORKDAY(E103-1,1)=E103,
    _xlfn.CONCAT(F103:G103)=""
  ),
  _xlfn.MAXIFS(I$2:I102,C$2:C102,C103,B$2:B102,B103)+1,
  ""
)</f>
        <v>7</v>
      </c>
    </row>
    <row r="104" spans="2:9" x14ac:dyDescent="0.25">
      <c r="B104" s="2">
        <f t="shared" si="3"/>
        <v>2025</v>
      </c>
      <c r="C104" s="2" t="str">
        <f t="shared" si="4"/>
        <v>October</v>
      </c>
      <c r="D104" s="2" t="str">
        <f t="shared" si="5"/>
        <v>Saturday</v>
      </c>
      <c r="E104" s="4">
        <v>45941</v>
      </c>
      <c r="H104" s="3" t="str">
        <f>IF(OR(Table1[[#This Row],[US Holiday]]&lt;&gt;"", Table1[[#This Row],[India Holiday]]&lt;&gt;""), "Yes", "No")</f>
        <v>No</v>
      </c>
      <c r="I104" s="2" t="str">
        <f>IF(
  AND(
    WORKDAY(E104-1,1)=E104,
    _xlfn.CONCAT(F104:G104)=""
  ),
  _xlfn.MAXIFS(I$2:I103,C$2:C103,C104,B$2:B103,B104)+1,
  ""
)</f>
        <v/>
      </c>
    </row>
    <row r="105" spans="2:9" x14ac:dyDescent="0.25">
      <c r="B105" s="2">
        <f t="shared" si="3"/>
        <v>2025</v>
      </c>
      <c r="C105" s="2" t="str">
        <f t="shared" si="4"/>
        <v>October</v>
      </c>
      <c r="D105" s="2" t="str">
        <f t="shared" si="5"/>
        <v>Sunday</v>
      </c>
      <c r="E105" s="4">
        <v>45942</v>
      </c>
      <c r="H105" s="3" t="str">
        <f>IF(OR(Table1[[#This Row],[US Holiday]]&lt;&gt;"", Table1[[#This Row],[India Holiday]]&lt;&gt;""), "Yes", "No")</f>
        <v>No</v>
      </c>
      <c r="I105" s="2" t="str">
        <f>IF(
  AND(
    WORKDAY(E105-1,1)=E105,
    _xlfn.CONCAT(F105:G105)=""
  ),
  _xlfn.MAXIFS(I$2:I104,C$2:C104,C105,B$2:B104,B105)+1,
  ""
)</f>
        <v/>
      </c>
    </row>
    <row r="106" spans="2:9" x14ac:dyDescent="0.25">
      <c r="B106" s="2">
        <f t="shared" si="3"/>
        <v>2025</v>
      </c>
      <c r="C106" s="2" t="str">
        <f t="shared" si="4"/>
        <v>October</v>
      </c>
      <c r="D106" s="2" t="str">
        <f t="shared" si="5"/>
        <v>Monday</v>
      </c>
      <c r="E106" s="4">
        <v>45943</v>
      </c>
      <c r="H106" s="3" t="str">
        <f>IF(OR(Table1[[#This Row],[US Holiday]]&lt;&gt;"", Table1[[#This Row],[India Holiday]]&lt;&gt;""), "Yes", "No")</f>
        <v>No</v>
      </c>
      <c r="I106" s="2">
        <f>IF(
  AND(
    WORKDAY(E106-1,1)=E106,
    _xlfn.CONCAT(F106:G106)=""
  ),
  _xlfn.MAXIFS(I$2:I105,C$2:C105,C106,B$2:B105,B106)+1,
  ""
)</f>
        <v>8</v>
      </c>
    </row>
    <row r="107" spans="2:9" x14ac:dyDescent="0.25">
      <c r="B107" s="2">
        <f t="shared" si="3"/>
        <v>2025</v>
      </c>
      <c r="C107" s="2" t="str">
        <f t="shared" si="4"/>
        <v>October</v>
      </c>
      <c r="D107" s="2" t="str">
        <f t="shared" si="5"/>
        <v>Tuesday</v>
      </c>
      <c r="E107" s="4">
        <v>45944</v>
      </c>
      <c r="H107" s="3" t="str">
        <f>IF(OR(Table1[[#This Row],[US Holiday]]&lt;&gt;"", Table1[[#This Row],[India Holiday]]&lt;&gt;""), "Yes", "No")</f>
        <v>No</v>
      </c>
      <c r="I107" s="2">
        <f>IF(
  AND(
    WORKDAY(E107-1,1)=E107,
    _xlfn.CONCAT(F107:G107)=""
  ),
  _xlfn.MAXIFS(I$2:I106,C$2:C106,C107,B$2:B106,B107)+1,
  ""
)</f>
        <v>9</v>
      </c>
    </row>
    <row r="108" spans="2:9" x14ac:dyDescent="0.25">
      <c r="B108" s="2">
        <f t="shared" si="3"/>
        <v>2025</v>
      </c>
      <c r="C108" s="2" t="str">
        <f t="shared" si="4"/>
        <v>October</v>
      </c>
      <c r="D108" s="2" t="str">
        <f t="shared" si="5"/>
        <v>Wednesday</v>
      </c>
      <c r="E108" s="4">
        <v>45945</v>
      </c>
      <c r="H108" s="3" t="str">
        <f>IF(OR(Table1[[#This Row],[US Holiday]]&lt;&gt;"", Table1[[#This Row],[India Holiday]]&lt;&gt;""), "Yes", "No")</f>
        <v>No</v>
      </c>
      <c r="I108" s="2">
        <f>IF(
  AND(
    WORKDAY(E108-1,1)=E108,
    _xlfn.CONCAT(F108:G108)=""
  ),
  _xlfn.MAXIFS(I$2:I107,C$2:C107,C108,B$2:B107,B108)+1,
  ""
)</f>
        <v>10</v>
      </c>
    </row>
    <row r="109" spans="2:9" x14ac:dyDescent="0.25">
      <c r="B109" s="2">
        <f t="shared" si="3"/>
        <v>2025</v>
      </c>
      <c r="C109" s="2" t="str">
        <f t="shared" si="4"/>
        <v>October</v>
      </c>
      <c r="D109" s="2" t="str">
        <f t="shared" si="5"/>
        <v>Thursday</v>
      </c>
      <c r="E109" s="4">
        <v>45946</v>
      </c>
      <c r="H109" s="3" t="str">
        <f>IF(OR(Table1[[#This Row],[US Holiday]]&lt;&gt;"", Table1[[#This Row],[India Holiday]]&lt;&gt;""), "Yes", "No")</f>
        <v>No</v>
      </c>
      <c r="I109" s="2">
        <f>IF(
  AND(
    WORKDAY(E109-1,1)=E109,
    _xlfn.CONCAT(F109:G109)=""
  ),
  _xlfn.MAXIFS(I$2:I108,C$2:C108,C109,B$2:B108,B109)+1,
  ""
)</f>
        <v>11</v>
      </c>
    </row>
    <row r="110" spans="2:9" x14ac:dyDescent="0.25">
      <c r="B110" s="2">
        <f t="shared" si="3"/>
        <v>2025</v>
      </c>
      <c r="C110" s="2" t="str">
        <f t="shared" si="4"/>
        <v>October</v>
      </c>
      <c r="D110" s="2" t="str">
        <f t="shared" si="5"/>
        <v>Friday</v>
      </c>
      <c r="E110" s="4">
        <v>45947</v>
      </c>
      <c r="H110" s="3" t="str">
        <f>IF(OR(Table1[[#This Row],[US Holiday]]&lt;&gt;"", Table1[[#This Row],[India Holiday]]&lt;&gt;""), "Yes", "No")</f>
        <v>No</v>
      </c>
      <c r="I110" s="2">
        <f>IF(
  AND(
    WORKDAY(E110-1,1)=E110,
    _xlfn.CONCAT(F110:G110)=""
  ),
  _xlfn.MAXIFS(I$2:I109,C$2:C109,C110,B$2:B109,B110)+1,
  ""
)</f>
        <v>12</v>
      </c>
    </row>
    <row r="111" spans="2:9" x14ac:dyDescent="0.25">
      <c r="B111" s="2">
        <f t="shared" si="3"/>
        <v>2025</v>
      </c>
      <c r="C111" s="2" t="str">
        <f t="shared" si="4"/>
        <v>October</v>
      </c>
      <c r="D111" s="2" t="str">
        <f t="shared" si="5"/>
        <v>Saturday</v>
      </c>
      <c r="E111" s="4">
        <v>45948</v>
      </c>
      <c r="H111" s="3" t="str">
        <f>IF(OR(Table1[[#This Row],[US Holiday]]&lt;&gt;"", Table1[[#This Row],[India Holiday]]&lt;&gt;""), "Yes", "No")</f>
        <v>No</v>
      </c>
      <c r="I111" s="2" t="str">
        <f>IF(
  AND(
    WORKDAY(E111-1,1)=E111,
    _xlfn.CONCAT(F111:G111)=""
  ),
  _xlfn.MAXIFS(I$2:I110,C$2:C110,C111,B$2:B110,B111)+1,
  ""
)</f>
        <v/>
      </c>
    </row>
    <row r="112" spans="2:9" x14ac:dyDescent="0.25">
      <c r="B112" s="2">
        <f t="shared" si="3"/>
        <v>2025</v>
      </c>
      <c r="C112" s="2" t="str">
        <f t="shared" si="4"/>
        <v>October</v>
      </c>
      <c r="D112" s="2" t="str">
        <f t="shared" si="5"/>
        <v>Sunday</v>
      </c>
      <c r="E112" s="4">
        <v>45949</v>
      </c>
      <c r="H112" s="3" t="str">
        <f>IF(OR(Table1[[#This Row],[US Holiday]]&lt;&gt;"", Table1[[#This Row],[India Holiday]]&lt;&gt;""), "Yes", "No")</f>
        <v>No</v>
      </c>
      <c r="I112" s="2" t="str">
        <f>IF(
  AND(
    WORKDAY(E112-1,1)=E112,
    _xlfn.CONCAT(F112:G112)=""
  ),
  _xlfn.MAXIFS(I$2:I111,C$2:C111,C112,B$2:B111,B112)+1,
  ""
)</f>
        <v/>
      </c>
    </row>
    <row r="113" spans="2:9" x14ac:dyDescent="0.25">
      <c r="B113" s="2">
        <f t="shared" si="3"/>
        <v>2025</v>
      </c>
      <c r="C113" s="2" t="str">
        <f t="shared" si="4"/>
        <v>October</v>
      </c>
      <c r="D113" s="2" t="str">
        <f t="shared" si="5"/>
        <v>Monday</v>
      </c>
      <c r="E113" s="4">
        <v>45950</v>
      </c>
      <c r="H113" s="3" t="str">
        <f>IF(OR(Table1[[#This Row],[US Holiday]]&lt;&gt;"", Table1[[#This Row],[India Holiday]]&lt;&gt;""), "Yes", "No")</f>
        <v>No</v>
      </c>
      <c r="I113" s="2">
        <f>IF(
  AND(
    WORKDAY(E113-1,1)=E113,
    _xlfn.CONCAT(F113:G113)=""
  ),
  _xlfn.MAXIFS(I$2:I112,C$2:C112,C113,B$2:B112,B113)+1,
  ""
)</f>
        <v>13</v>
      </c>
    </row>
    <row r="114" spans="2:9" x14ac:dyDescent="0.25">
      <c r="B114" s="2">
        <f t="shared" si="3"/>
        <v>2025</v>
      </c>
      <c r="C114" s="2" t="str">
        <f t="shared" si="4"/>
        <v>October</v>
      </c>
      <c r="D114" s="2" t="str">
        <f t="shared" si="5"/>
        <v>Tuesday</v>
      </c>
      <c r="E114" s="4">
        <v>45951</v>
      </c>
      <c r="H114" s="3" t="str">
        <f>IF(OR(Table1[[#This Row],[US Holiday]]&lt;&gt;"", Table1[[#This Row],[India Holiday]]&lt;&gt;""), "Yes", "No")</f>
        <v>No</v>
      </c>
      <c r="I114" s="2">
        <f>IF(
  AND(
    WORKDAY(E114-1,1)=E114,
    _xlfn.CONCAT(F114:G114)=""
  ),
  _xlfn.MAXIFS(I$2:I113,C$2:C113,C114,B$2:B113,B114)+1,
  ""
)</f>
        <v>14</v>
      </c>
    </row>
    <row r="115" spans="2:9" x14ac:dyDescent="0.25">
      <c r="B115" s="2">
        <f t="shared" si="3"/>
        <v>2025</v>
      </c>
      <c r="C115" s="2" t="str">
        <f t="shared" si="4"/>
        <v>October</v>
      </c>
      <c r="D115" s="2" t="str">
        <f t="shared" si="5"/>
        <v>Wednesday</v>
      </c>
      <c r="E115" s="4">
        <v>45952</v>
      </c>
      <c r="H115" s="3" t="str">
        <f>IF(OR(Table1[[#This Row],[US Holiday]]&lt;&gt;"", Table1[[#This Row],[India Holiday]]&lt;&gt;""), "Yes", "No")</f>
        <v>No</v>
      </c>
      <c r="I115" s="2">
        <f>IF(
  AND(
    WORKDAY(E115-1,1)=E115,
    _xlfn.CONCAT(F115:G115)=""
  ),
  _xlfn.MAXIFS(I$2:I114,C$2:C114,C115,B$2:B114,B115)+1,
  ""
)</f>
        <v>15</v>
      </c>
    </row>
    <row r="116" spans="2:9" x14ac:dyDescent="0.25">
      <c r="B116" s="2">
        <f t="shared" si="3"/>
        <v>2025</v>
      </c>
      <c r="C116" s="2" t="str">
        <f t="shared" si="4"/>
        <v>October</v>
      </c>
      <c r="D116" s="2" t="str">
        <f t="shared" si="5"/>
        <v>Thursday</v>
      </c>
      <c r="E116" s="4">
        <v>45953</v>
      </c>
      <c r="H116" s="3" t="str">
        <f>IF(OR(Table1[[#This Row],[US Holiday]]&lt;&gt;"", Table1[[#This Row],[India Holiday]]&lt;&gt;""), "Yes", "No")</f>
        <v>No</v>
      </c>
      <c r="I116" s="2">
        <f>IF(
  AND(
    WORKDAY(E116-1,1)=E116,
    _xlfn.CONCAT(F116:G116)=""
  ),
  _xlfn.MAXIFS(I$2:I115,C$2:C115,C116,B$2:B115,B116)+1,
  ""
)</f>
        <v>16</v>
      </c>
    </row>
    <row r="117" spans="2:9" x14ac:dyDescent="0.25">
      <c r="B117" s="2">
        <f t="shared" si="3"/>
        <v>2025</v>
      </c>
      <c r="C117" s="2" t="str">
        <f t="shared" si="4"/>
        <v>October</v>
      </c>
      <c r="D117" s="2" t="str">
        <f t="shared" si="5"/>
        <v>Friday</v>
      </c>
      <c r="E117" s="4">
        <v>45954</v>
      </c>
      <c r="H117" s="3" t="str">
        <f>IF(OR(Table1[[#This Row],[US Holiday]]&lt;&gt;"", Table1[[#This Row],[India Holiday]]&lt;&gt;""), "Yes", "No")</f>
        <v>No</v>
      </c>
      <c r="I117" s="2">
        <f>IF(
  AND(
    WORKDAY(E117-1,1)=E117,
    _xlfn.CONCAT(F117:G117)=""
  ),
  _xlfn.MAXIFS(I$2:I116,C$2:C116,C117,B$2:B116,B117)+1,
  ""
)</f>
        <v>17</v>
      </c>
    </row>
    <row r="118" spans="2:9" x14ac:dyDescent="0.25">
      <c r="B118" s="2">
        <f t="shared" si="3"/>
        <v>2025</v>
      </c>
      <c r="C118" s="2" t="str">
        <f t="shared" si="4"/>
        <v>October</v>
      </c>
      <c r="D118" s="2" t="str">
        <f t="shared" si="5"/>
        <v>Saturday</v>
      </c>
      <c r="E118" s="4">
        <v>45955</v>
      </c>
      <c r="H118" s="3" t="str">
        <f>IF(OR(Table1[[#This Row],[US Holiday]]&lt;&gt;"", Table1[[#This Row],[India Holiday]]&lt;&gt;""), "Yes", "No")</f>
        <v>No</v>
      </c>
      <c r="I118" s="2" t="str">
        <f>IF(
  AND(
    WORKDAY(E118-1,1)=E118,
    _xlfn.CONCAT(F118:G118)=""
  ),
  _xlfn.MAXIFS(I$2:I117,C$2:C117,C118,B$2:B117,B118)+1,
  ""
)</f>
        <v/>
      </c>
    </row>
    <row r="119" spans="2:9" x14ac:dyDescent="0.25">
      <c r="B119" s="2">
        <f t="shared" si="3"/>
        <v>2025</v>
      </c>
      <c r="C119" s="2" t="str">
        <f t="shared" si="4"/>
        <v>October</v>
      </c>
      <c r="D119" s="2" t="str">
        <f t="shared" si="5"/>
        <v>Sunday</v>
      </c>
      <c r="E119" s="4">
        <v>45956</v>
      </c>
      <c r="H119" s="3" t="str">
        <f>IF(OR(Table1[[#This Row],[US Holiday]]&lt;&gt;"", Table1[[#This Row],[India Holiday]]&lt;&gt;""), "Yes", "No")</f>
        <v>No</v>
      </c>
      <c r="I119" s="2" t="str">
        <f>IF(
  AND(
    WORKDAY(E119-1,1)=E119,
    _xlfn.CONCAT(F119:G119)=""
  ),
  _xlfn.MAXIFS(I$2:I118,C$2:C118,C119,B$2:B118,B119)+1,
  ""
)</f>
        <v/>
      </c>
    </row>
    <row r="120" spans="2:9" x14ac:dyDescent="0.25">
      <c r="B120" s="2">
        <f t="shared" si="3"/>
        <v>2025</v>
      </c>
      <c r="C120" s="2" t="str">
        <f t="shared" si="4"/>
        <v>October</v>
      </c>
      <c r="D120" s="2" t="str">
        <f t="shared" si="5"/>
        <v>Monday</v>
      </c>
      <c r="E120" s="4">
        <v>45957</v>
      </c>
      <c r="H120" s="3" t="str">
        <f>IF(OR(Table1[[#This Row],[US Holiday]]&lt;&gt;"", Table1[[#This Row],[India Holiday]]&lt;&gt;""), "Yes", "No")</f>
        <v>No</v>
      </c>
      <c r="I120" s="2">
        <f>IF(
  AND(
    WORKDAY(E120-1,1)=E120,
    _xlfn.CONCAT(F120:G120)=""
  ),
  _xlfn.MAXIFS(I$2:I119,C$2:C119,C120,B$2:B119,B120)+1,
  ""
)</f>
        <v>18</v>
      </c>
    </row>
    <row r="121" spans="2:9" x14ac:dyDescent="0.25">
      <c r="B121" s="2">
        <f t="shared" si="3"/>
        <v>2025</v>
      </c>
      <c r="C121" s="2" t="str">
        <f t="shared" si="4"/>
        <v>October</v>
      </c>
      <c r="D121" s="2" t="str">
        <f t="shared" si="5"/>
        <v>Tuesday</v>
      </c>
      <c r="E121" s="4">
        <v>45958</v>
      </c>
      <c r="H121" s="3" t="str">
        <f>IF(OR(Table1[[#This Row],[US Holiday]]&lt;&gt;"", Table1[[#This Row],[India Holiday]]&lt;&gt;""), "Yes", "No")</f>
        <v>No</v>
      </c>
      <c r="I121" s="2">
        <f>IF(
  AND(
    WORKDAY(E121-1,1)=E121,
    _xlfn.CONCAT(F121:G121)=""
  ),
  _xlfn.MAXIFS(I$2:I120,C$2:C120,C121,B$2:B120,B121)+1,
  ""
)</f>
        <v>19</v>
      </c>
    </row>
    <row r="122" spans="2:9" x14ac:dyDescent="0.25">
      <c r="B122" s="2">
        <f t="shared" si="3"/>
        <v>2025</v>
      </c>
      <c r="C122" s="2" t="str">
        <f t="shared" si="4"/>
        <v>October</v>
      </c>
      <c r="D122" s="2" t="str">
        <f t="shared" si="5"/>
        <v>Wednesday</v>
      </c>
      <c r="E122" s="4">
        <v>45959</v>
      </c>
      <c r="H122" s="3" t="str">
        <f>IF(OR(Table1[[#This Row],[US Holiday]]&lt;&gt;"", Table1[[#This Row],[India Holiday]]&lt;&gt;""), "Yes", "No")</f>
        <v>No</v>
      </c>
      <c r="I122" s="2">
        <f>IF(
  AND(
    WORKDAY(E122-1,1)=E122,
    _xlfn.CONCAT(F122:G122)=""
  ),
  _xlfn.MAXIFS(I$2:I121,C$2:C121,C122,B$2:B121,B122)+1,
  ""
)</f>
        <v>20</v>
      </c>
    </row>
    <row r="123" spans="2:9" x14ac:dyDescent="0.25">
      <c r="B123" s="2">
        <f t="shared" si="3"/>
        <v>2025</v>
      </c>
      <c r="C123" s="2" t="str">
        <f t="shared" si="4"/>
        <v>October</v>
      </c>
      <c r="D123" s="2" t="str">
        <f t="shared" si="5"/>
        <v>Thursday</v>
      </c>
      <c r="E123" s="4">
        <v>45960</v>
      </c>
      <c r="H123" s="3" t="str">
        <f>IF(OR(Table1[[#This Row],[US Holiday]]&lt;&gt;"", Table1[[#This Row],[India Holiday]]&lt;&gt;""), "Yes", "No")</f>
        <v>No</v>
      </c>
      <c r="I123" s="2">
        <f>IF(
  AND(
    WORKDAY(E123-1,1)=E123,
    _xlfn.CONCAT(F123:G123)=""
  ),
  _xlfn.MAXIFS(I$2:I122,C$2:C122,C123,B$2:B122,B123)+1,
  ""
)</f>
        <v>21</v>
      </c>
    </row>
    <row r="124" spans="2:9" x14ac:dyDescent="0.25">
      <c r="B124" s="2">
        <f t="shared" si="3"/>
        <v>2025</v>
      </c>
      <c r="C124" s="2" t="str">
        <f t="shared" si="4"/>
        <v>October</v>
      </c>
      <c r="D124" s="2" t="str">
        <f t="shared" si="5"/>
        <v>Friday</v>
      </c>
      <c r="E124" s="4">
        <v>45961</v>
      </c>
      <c r="H124" s="3" t="str">
        <f>IF(OR(Table1[[#This Row],[US Holiday]]&lt;&gt;"", Table1[[#This Row],[India Holiday]]&lt;&gt;""), "Yes", "No")</f>
        <v>No</v>
      </c>
      <c r="I124" s="2">
        <f>IF(
  AND(
    WORKDAY(E124-1,1)=E124,
    _xlfn.CONCAT(F124:G124)=""
  ),
  _xlfn.MAXIFS(I$2:I123,C$2:C123,C124,B$2:B123,B124)+1,
  ""
)</f>
        <v>22</v>
      </c>
    </row>
    <row r="125" spans="2:9" x14ac:dyDescent="0.25">
      <c r="B125" s="2">
        <f t="shared" si="3"/>
        <v>2025</v>
      </c>
      <c r="C125" s="2" t="str">
        <f t="shared" si="4"/>
        <v>November</v>
      </c>
      <c r="D125" s="2" t="str">
        <f t="shared" si="5"/>
        <v>Saturday</v>
      </c>
      <c r="E125" s="4">
        <v>45962</v>
      </c>
      <c r="F125" s="63"/>
      <c r="G125" s="63"/>
      <c r="H125" s="65" t="str">
        <f>IF(OR(Table1[[#This Row],[US Holiday]]&lt;&gt;"", Table1[[#This Row],[India Holiday]]&lt;&gt;""), "Yes", "No")</f>
        <v>No</v>
      </c>
      <c r="I125" s="2" t="str">
        <f>IF(
  AND(
    WORKDAY(E125-1,1)=E125,
    _xlfn.CONCAT(F125:G125)=""
  ),
  _xlfn.MAXIFS(I$2:I124,C$2:C124,C125,B$2:B124,B125)+1,
  ""
)</f>
        <v/>
      </c>
    </row>
    <row r="126" spans="2:9" x14ac:dyDescent="0.25">
      <c r="B126" s="2">
        <f t="shared" si="3"/>
        <v>2025</v>
      </c>
      <c r="C126" s="2" t="str">
        <f t="shared" si="4"/>
        <v>November</v>
      </c>
      <c r="D126" s="2" t="str">
        <f t="shared" si="5"/>
        <v>Sunday</v>
      </c>
      <c r="E126" s="4">
        <v>45963</v>
      </c>
      <c r="F126" s="63"/>
      <c r="G126" s="63"/>
      <c r="H126" s="65" t="str">
        <f>IF(OR(Table1[[#This Row],[US Holiday]]&lt;&gt;"", Table1[[#This Row],[India Holiday]]&lt;&gt;""), "Yes", "No")</f>
        <v>No</v>
      </c>
      <c r="I126" s="2" t="str">
        <f>IF(
  AND(
    WORKDAY(E126-1,1)=E126,
    _xlfn.CONCAT(F126:G126)=""
  ),
  _xlfn.MAXIFS(I$2:I125,C$2:C125,C126,B$2:B125,B126)+1,
  ""
)</f>
        <v/>
      </c>
    </row>
    <row r="127" spans="2:9" x14ac:dyDescent="0.25">
      <c r="B127" s="2">
        <f t="shared" si="3"/>
        <v>2025</v>
      </c>
      <c r="C127" s="2" t="str">
        <f t="shared" si="4"/>
        <v>November</v>
      </c>
      <c r="D127" s="2" t="str">
        <f t="shared" si="5"/>
        <v>Monday</v>
      </c>
      <c r="E127" s="4">
        <v>45964</v>
      </c>
      <c r="F127" s="63"/>
      <c r="G127" s="63"/>
      <c r="H127" s="65" t="str">
        <f>IF(OR(Table1[[#This Row],[US Holiday]]&lt;&gt;"", Table1[[#This Row],[India Holiday]]&lt;&gt;""), "Yes", "No")</f>
        <v>No</v>
      </c>
      <c r="I127" s="2">
        <f>IF(
  AND(
    WORKDAY(E127-1,1)=E127,
    _xlfn.CONCAT(F127:G127)=""
  ),
  _xlfn.MAXIFS(I$2:I126,C$2:C126,C127,B$2:B126,B127)+1,
  ""
)</f>
        <v>1</v>
      </c>
    </row>
    <row r="128" spans="2:9" x14ac:dyDescent="0.25">
      <c r="B128" s="2">
        <f t="shared" si="3"/>
        <v>2025</v>
      </c>
      <c r="C128" s="2" t="str">
        <f t="shared" si="4"/>
        <v>November</v>
      </c>
      <c r="D128" s="2" t="str">
        <f t="shared" si="5"/>
        <v>Tuesday</v>
      </c>
      <c r="E128" s="4">
        <v>45965</v>
      </c>
      <c r="F128" s="63"/>
      <c r="G128" s="63"/>
      <c r="H128" s="65" t="str">
        <f>IF(OR(Table1[[#This Row],[US Holiday]]&lt;&gt;"", Table1[[#This Row],[India Holiday]]&lt;&gt;""), "Yes", "No")</f>
        <v>No</v>
      </c>
      <c r="I128" s="2">
        <f>IF(
  AND(
    WORKDAY(E128-1,1)=E128,
    _xlfn.CONCAT(F128:G128)=""
  ),
  _xlfn.MAXIFS(I$2:I127,C$2:C127,C128,B$2:B127,B128)+1,
  ""
)</f>
        <v>2</v>
      </c>
    </row>
    <row r="129" spans="2:9" x14ac:dyDescent="0.25">
      <c r="B129" s="2">
        <f t="shared" si="3"/>
        <v>2025</v>
      </c>
      <c r="C129" s="2" t="str">
        <f t="shared" si="4"/>
        <v>November</v>
      </c>
      <c r="D129" s="2" t="str">
        <f t="shared" si="5"/>
        <v>Wednesday</v>
      </c>
      <c r="E129" s="4">
        <v>45966</v>
      </c>
      <c r="F129" s="63"/>
      <c r="G129" s="63"/>
      <c r="H129" s="65" t="str">
        <f>IF(OR(Table1[[#This Row],[US Holiday]]&lt;&gt;"", Table1[[#This Row],[India Holiday]]&lt;&gt;""), "Yes", "No")</f>
        <v>No</v>
      </c>
      <c r="I129" s="2">
        <f>IF(
  AND(
    WORKDAY(E129-1,1)=E129,
    _xlfn.CONCAT(F129:G129)=""
  ),
  _xlfn.MAXIFS(I$2:I128,C$2:C128,C129,B$2:B128,B129)+1,
  ""
)</f>
        <v>3</v>
      </c>
    </row>
    <row r="130" spans="2:9" x14ac:dyDescent="0.25">
      <c r="B130" s="2">
        <f t="shared" si="3"/>
        <v>2025</v>
      </c>
      <c r="C130" s="2" t="str">
        <f t="shared" si="4"/>
        <v>November</v>
      </c>
      <c r="D130" s="2" t="str">
        <f t="shared" si="5"/>
        <v>Thursday</v>
      </c>
      <c r="E130" s="4">
        <v>45967</v>
      </c>
      <c r="F130" s="63"/>
      <c r="G130" s="63"/>
      <c r="H130" s="65" t="str">
        <f>IF(OR(Table1[[#This Row],[US Holiday]]&lt;&gt;"", Table1[[#This Row],[India Holiday]]&lt;&gt;""), "Yes", "No")</f>
        <v>No</v>
      </c>
      <c r="I130" s="2">
        <f>IF(
  AND(
    WORKDAY(E130-1,1)=E130,
    _xlfn.CONCAT(F130:G130)=""
  ),
  _xlfn.MAXIFS(I$2:I129,C$2:C129,C130,B$2:B129,B130)+1,
  ""
)</f>
        <v>4</v>
      </c>
    </row>
    <row r="131" spans="2:9" x14ac:dyDescent="0.25">
      <c r="B131" s="2">
        <f t="shared" ref="B131:B194" si="6">YEAR(E131)</f>
        <v>2025</v>
      </c>
      <c r="C131" s="2" t="str">
        <f t="shared" ref="C131:C185" si="7">TEXT(E131,"mmmm")</f>
        <v>November</v>
      </c>
      <c r="D131" s="2" t="str">
        <f t="shared" ref="D131:D194" si="8">TEXT(E131,"dddd")</f>
        <v>Friday</v>
      </c>
      <c r="E131" s="4">
        <v>45968</v>
      </c>
      <c r="F131" s="63"/>
      <c r="G131" s="63"/>
      <c r="H131" s="65" t="str">
        <f>IF(OR(Table1[[#This Row],[US Holiday]]&lt;&gt;"", Table1[[#This Row],[India Holiday]]&lt;&gt;""), "Yes", "No")</f>
        <v>No</v>
      </c>
      <c r="I131" s="2">
        <f>IF(
  AND(
    WORKDAY(E131-1,1)=E131,
    _xlfn.CONCAT(F131:G131)=""
  ),
  _xlfn.MAXIFS(I$2:I130,C$2:C130,C131,B$2:B130,B131)+1,
  ""
)</f>
        <v>5</v>
      </c>
    </row>
    <row r="132" spans="2:9" x14ac:dyDescent="0.25">
      <c r="B132" s="2">
        <f t="shared" si="6"/>
        <v>2025</v>
      </c>
      <c r="C132" s="2" t="str">
        <f t="shared" si="7"/>
        <v>November</v>
      </c>
      <c r="D132" s="2" t="str">
        <f t="shared" si="8"/>
        <v>Saturday</v>
      </c>
      <c r="E132" s="4">
        <v>45969</v>
      </c>
      <c r="F132" s="63"/>
      <c r="G132" s="63"/>
      <c r="H132" s="65" t="str">
        <f>IF(OR(Table1[[#This Row],[US Holiday]]&lt;&gt;"", Table1[[#This Row],[India Holiday]]&lt;&gt;""), "Yes", "No")</f>
        <v>No</v>
      </c>
      <c r="I132" s="2" t="str">
        <f>IF(
  AND(
    WORKDAY(E132-1,1)=E132,
    _xlfn.CONCAT(F132:G132)=""
  ),
  _xlfn.MAXIFS(I$2:I131,C$2:C131,C132,B$2:B131,B132)+1,
  ""
)</f>
        <v/>
      </c>
    </row>
    <row r="133" spans="2:9" x14ac:dyDescent="0.25">
      <c r="B133" s="2">
        <f t="shared" si="6"/>
        <v>2025</v>
      </c>
      <c r="C133" s="2" t="str">
        <f t="shared" si="7"/>
        <v>November</v>
      </c>
      <c r="D133" s="2" t="str">
        <f t="shared" si="8"/>
        <v>Sunday</v>
      </c>
      <c r="E133" s="4">
        <v>45970</v>
      </c>
      <c r="F133" s="63"/>
      <c r="G133" s="63"/>
      <c r="H133" s="65" t="str">
        <f>IF(OR(Table1[[#This Row],[US Holiday]]&lt;&gt;"", Table1[[#This Row],[India Holiday]]&lt;&gt;""), "Yes", "No")</f>
        <v>No</v>
      </c>
      <c r="I133" s="2" t="str">
        <f>IF(
  AND(
    WORKDAY(E133-1,1)=E133,
    _xlfn.CONCAT(F133:G133)=""
  ),
  _xlfn.MAXIFS(I$2:I132,C$2:C132,C133,B$2:B132,B133)+1,
  ""
)</f>
        <v/>
      </c>
    </row>
    <row r="134" spans="2:9" x14ac:dyDescent="0.25">
      <c r="B134" s="2">
        <f t="shared" si="6"/>
        <v>2025</v>
      </c>
      <c r="C134" s="2" t="str">
        <f t="shared" si="7"/>
        <v>November</v>
      </c>
      <c r="D134" s="2" t="str">
        <f t="shared" si="8"/>
        <v>Monday</v>
      </c>
      <c r="E134" s="4">
        <v>45971</v>
      </c>
      <c r="F134" s="63"/>
      <c r="G134" s="63"/>
      <c r="H134" s="65" t="str">
        <f>IF(OR(Table1[[#This Row],[US Holiday]]&lt;&gt;"", Table1[[#This Row],[India Holiday]]&lt;&gt;""), "Yes", "No")</f>
        <v>No</v>
      </c>
      <c r="I134" s="2">
        <f>IF(
  AND(
    WORKDAY(E134-1,1)=E134,
    _xlfn.CONCAT(F134:G134)=""
  ),
  _xlfn.MAXIFS(I$2:I133,C$2:C133,C134,B$2:B133,B134)+1,
  ""
)</f>
        <v>6</v>
      </c>
    </row>
    <row r="135" spans="2:9" x14ac:dyDescent="0.25">
      <c r="B135" s="2">
        <f t="shared" si="6"/>
        <v>2025</v>
      </c>
      <c r="C135" s="2" t="str">
        <f t="shared" si="7"/>
        <v>November</v>
      </c>
      <c r="D135" s="2" t="str">
        <f t="shared" si="8"/>
        <v>Tuesday</v>
      </c>
      <c r="E135" s="4">
        <v>45972</v>
      </c>
      <c r="F135" s="63"/>
      <c r="G135" s="63"/>
      <c r="H135" s="65" t="str">
        <f>IF(OR(Table1[[#This Row],[US Holiday]]&lt;&gt;"", Table1[[#This Row],[India Holiday]]&lt;&gt;""), "Yes", "No")</f>
        <v>No</v>
      </c>
      <c r="I135" s="2">
        <f>IF(
  AND(
    WORKDAY(E135-1,1)=E135,
    _xlfn.CONCAT(F135:G135)=""
  ),
  _xlfn.MAXIFS(I$2:I134,C$2:C134,C135,B$2:B134,B135)+1,
  ""
)</f>
        <v>7</v>
      </c>
    </row>
    <row r="136" spans="2:9" x14ac:dyDescent="0.25">
      <c r="B136" s="2">
        <f t="shared" si="6"/>
        <v>2025</v>
      </c>
      <c r="C136" s="2" t="str">
        <f t="shared" si="7"/>
        <v>November</v>
      </c>
      <c r="D136" s="2" t="str">
        <f t="shared" si="8"/>
        <v>Wednesday</v>
      </c>
      <c r="E136" s="4">
        <v>45973</v>
      </c>
      <c r="F136" s="63"/>
      <c r="G136" s="63"/>
      <c r="H136" s="65" t="str">
        <f>IF(OR(Table1[[#This Row],[US Holiday]]&lt;&gt;"", Table1[[#This Row],[India Holiday]]&lt;&gt;""), "Yes", "No")</f>
        <v>No</v>
      </c>
      <c r="I136" s="2">
        <f>IF(
  AND(
    WORKDAY(E136-1,1)=E136,
    _xlfn.CONCAT(F136:G136)=""
  ),
  _xlfn.MAXIFS(I$2:I135,C$2:C135,C136,B$2:B135,B136)+1,
  ""
)</f>
        <v>8</v>
      </c>
    </row>
    <row r="137" spans="2:9" x14ac:dyDescent="0.25">
      <c r="B137" s="2">
        <f t="shared" si="6"/>
        <v>2025</v>
      </c>
      <c r="C137" s="2" t="str">
        <f t="shared" si="7"/>
        <v>November</v>
      </c>
      <c r="D137" s="2" t="str">
        <f t="shared" si="8"/>
        <v>Thursday</v>
      </c>
      <c r="E137" s="4">
        <v>45974</v>
      </c>
      <c r="F137" s="63"/>
      <c r="G137" s="63"/>
      <c r="H137" s="65" t="str">
        <f>IF(OR(Table1[[#This Row],[US Holiday]]&lt;&gt;"", Table1[[#This Row],[India Holiday]]&lt;&gt;""), "Yes", "No")</f>
        <v>No</v>
      </c>
      <c r="I137" s="2">
        <f>IF(
  AND(
    WORKDAY(E137-1,1)=E137,
    _xlfn.CONCAT(F137:G137)=""
  ),
  _xlfn.MAXIFS(I$2:I136,C$2:C136,C137,B$2:B136,B137)+1,
  ""
)</f>
        <v>9</v>
      </c>
    </row>
    <row r="138" spans="2:9" x14ac:dyDescent="0.25">
      <c r="B138" s="2">
        <f t="shared" si="6"/>
        <v>2025</v>
      </c>
      <c r="C138" s="2" t="str">
        <f t="shared" si="7"/>
        <v>November</v>
      </c>
      <c r="D138" s="2" t="str">
        <f t="shared" si="8"/>
        <v>Friday</v>
      </c>
      <c r="E138" s="4">
        <v>45975</v>
      </c>
      <c r="F138" s="63"/>
      <c r="G138" s="63"/>
      <c r="H138" s="65" t="str">
        <f>IF(OR(Table1[[#This Row],[US Holiday]]&lt;&gt;"", Table1[[#This Row],[India Holiday]]&lt;&gt;""), "Yes", "No")</f>
        <v>No</v>
      </c>
      <c r="I138" s="2">
        <f>IF(
  AND(
    WORKDAY(E138-1,1)=E138,
    _xlfn.CONCAT(F138:G138)=""
  ),
  _xlfn.MAXIFS(I$2:I137,C$2:C137,C138,B$2:B137,B138)+1,
  ""
)</f>
        <v>10</v>
      </c>
    </row>
    <row r="139" spans="2:9" x14ac:dyDescent="0.25">
      <c r="B139" s="2">
        <f t="shared" si="6"/>
        <v>2025</v>
      </c>
      <c r="C139" s="2" t="str">
        <f t="shared" si="7"/>
        <v>November</v>
      </c>
      <c r="D139" s="2" t="str">
        <f t="shared" si="8"/>
        <v>Saturday</v>
      </c>
      <c r="E139" s="4">
        <v>45976</v>
      </c>
      <c r="F139" s="63"/>
      <c r="G139" s="63"/>
      <c r="H139" s="65" t="str">
        <f>IF(OR(Table1[[#This Row],[US Holiday]]&lt;&gt;"", Table1[[#This Row],[India Holiday]]&lt;&gt;""), "Yes", "No")</f>
        <v>No</v>
      </c>
      <c r="I139" s="2" t="str">
        <f>IF(
  AND(
    WORKDAY(E139-1,1)=E139,
    _xlfn.CONCAT(F139:G139)=""
  ),
  _xlfn.MAXIFS(I$2:I138,C$2:C138,C139,B$2:B138,B139)+1,
  ""
)</f>
        <v/>
      </c>
    </row>
    <row r="140" spans="2:9" x14ac:dyDescent="0.25">
      <c r="B140" s="2">
        <f t="shared" si="6"/>
        <v>2025</v>
      </c>
      <c r="C140" s="2" t="str">
        <f t="shared" si="7"/>
        <v>November</v>
      </c>
      <c r="D140" s="2" t="str">
        <f t="shared" si="8"/>
        <v>Sunday</v>
      </c>
      <c r="E140" s="4">
        <v>45977</v>
      </c>
      <c r="F140" s="63"/>
      <c r="G140" s="63"/>
      <c r="H140" s="65" t="str">
        <f>IF(OR(Table1[[#This Row],[US Holiday]]&lt;&gt;"", Table1[[#This Row],[India Holiday]]&lt;&gt;""), "Yes", "No")</f>
        <v>No</v>
      </c>
      <c r="I140" s="2" t="str">
        <f>IF(
  AND(
    WORKDAY(E140-1,1)=E140,
    _xlfn.CONCAT(F140:G140)=""
  ),
  _xlfn.MAXIFS(I$2:I139,C$2:C139,C140,B$2:B139,B140)+1,
  ""
)</f>
        <v/>
      </c>
    </row>
    <row r="141" spans="2:9" x14ac:dyDescent="0.25">
      <c r="B141" s="2">
        <f t="shared" si="6"/>
        <v>2025</v>
      </c>
      <c r="C141" s="2" t="str">
        <f t="shared" si="7"/>
        <v>November</v>
      </c>
      <c r="D141" s="2" t="str">
        <f t="shared" si="8"/>
        <v>Monday</v>
      </c>
      <c r="E141" s="4">
        <v>45978</v>
      </c>
      <c r="F141" s="63"/>
      <c r="G141" s="63"/>
      <c r="H141" s="65" t="str">
        <f>IF(OR(Table1[[#This Row],[US Holiday]]&lt;&gt;"", Table1[[#This Row],[India Holiday]]&lt;&gt;""), "Yes", "No")</f>
        <v>No</v>
      </c>
      <c r="I141" s="2">
        <f>IF(
  AND(
    WORKDAY(E141-1,1)=E141,
    _xlfn.CONCAT(F141:G141)=""
  ),
  _xlfn.MAXIFS(I$2:I140,C$2:C140,C141,B$2:B140,B141)+1,
  ""
)</f>
        <v>11</v>
      </c>
    </row>
    <row r="142" spans="2:9" x14ac:dyDescent="0.25">
      <c r="B142" s="2">
        <f t="shared" si="6"/>
        <v>2025</v>
      </c>
      <c r="C142" s="2" t="str">
        <f t="shared" si="7"/>
        <v>November</v>
      </c>
      <c r="D142" s="2" t="str">
        <f t="shared" si="8"/>
        <v>Tuesday</v>
      </c>
      <c r="E142" s="4">
        <v>45979</v>
      </c>
      <c r="F142" s="63"/>
      <c r="G142" s="63"/>
      <c r="H142" s="65" t="str">
        <f>IF(OR(Table1[[#This Row],[US Holiday]]&lt;&gt;"", Table1[[#This Row],[India Holiday]]&lt;&gt;""), "Yes", "No")</f>
        <v>No</v>
      </c>
      <c r="I142" s="2">
        <f>IF(
  AND(
    WORKDAY(E142-1,1)=E142,
    _xlfn.CONCAT(F142:G142)=""
  ),
  _xlfn.MAXIFS(I$2:I141,C$2:C141,C142,B$2:B141,B142)+1,
  ""
)</f>
        <v>12</v>
      </c>
    </row>
    <row r="143" spans="2:9" x14ac:dyDescent="0.25">
      <c r="B143" s="2">
        <f t="shared" si="6"/>
        <v>2025</v>
      </c>
      <c r="C143" s="2" t="str">
        <f t="shared" si="7"/>
        <v>November</v>
      </c>
      <c r="D143" s="2" t="str">
        <f t="shared" si="8"/>
        <v>Wednesday</v>
      </c>
      <c r="E143" s="4">
        <v>45980</v>
      </c>
      <c r="F143" s="63"/>
      <c r="G143" s="63"/>
      <c r="H143" s="65" t="str">
        <f>IF(OR(Table1[[#This Row],[US Holiday]]&lt;&gt;"", Table1[[#This Row],[India Holiday]]&lt;&gt;""), "Yes", "No")</f>
        <v>No</v>
      </c>
      <c r="I143" s="2">
        <f>IF(
  AND(
    WORKDAY(E143-1,1)=E143,
    _xlfn.CONCAT(F143:G143)=""
  ),
  _xlfn.MAXIFS(I$2:I142,C$2:C142,C143,B$2:B142,B143)+1,
  ""
)</f>
        <v>13</v>
      </c>
    </row>
    <row r="144" spans="2:9" x14ac:dyDescent="0.25">
      <c r="B144" s="2">
        <f t="shared" si="6"/>
        <v>2025</v>
      </c>
      <c r="C144" s="2" t="str">
        <f t="shared" si="7"/>
        <v>November</v>
      </c>
      <c r="D144" s="2" t="str">
        <f t="shared" si="8"/>
        <v>Thursday</v>
      </c>
      <c r="E144" s="4">
        <v>45981</v>
      </c>
      <c r="F144" s="63"/>
      <c r="G144" s="63"/>
      <c r="H144" s="65" t="str">
        <f>IF(OR(Table1[[#This Row],[US Holiday]]&lt;&gt;"", Table1[[#This Row],[India Holiday]]&lt;&gt;""), "Yes", "No")</f>
        <v>No</v>
      </c>
      <c r="I144" s="2">
        <f>IF(
  AND(
    WORKDAY(E144-1,1)=E144,
    _xlfn.CONCAT(F144:G144)=""
  ),
  _xlfn.MAXIFS(I$2:I143,C$2:C143,C144,B$2:B143,B144)+1,
  ""
)</f>
        <v>14</v>
      </c>
    </row>
    <row r="145" spans="2:9" x14ac:dyDescent="0.25">
      <c r="B145" s="2">
        <f t="shared" si="6"/>
        <v>2025</v>
      </c>
      <c r="C145" s="2" t="str">
        <f t="shared" si="7"/>
        <v>November</v>
      </c>
      <c r="D145" s="2" t="str">
        <f t="shared" si="8"/>
        <v>Friday</v>
      </c>
      <c r="E145" s="4">
        <v>45982</v>
      </c>
      <c r="F145" s="63"/>
      <c r="G145" s="63"/>
      <c r="H145" s="65" t="str">
        <f>IF(OR(Table1[[#This Row],[US Holiday]]&lt;&gt;"", Table1[[#This Row],[India Holiday]]&lt;&gt;""), "Yes", "No")</f>
        <v>No</v>
      </c>
      <c r="I145" s="2">
        <f>IF(
  AND(
    WORKDAY(E145-1,1)=E145,
    _xlfn.CONCAT(F145:G145)=""
  ),
  _xlfn.MAXIFS(I$2:I144,C$2:C144,C145,B$2:B144,B145)+1,
  ""
)</f>
        <v>15</v>
      </c>
    </row>
    <row r="146" spans="2:9" x14ac:dyDescent="0.25">
      <c r="B146" s="2">
        <f t="shared" si="6"/>
        <v>2025</v>
      </c>
      <c r="C146" s="2" t="str">
        <f t="shared" si="7"/>
        <v>November</v>
      </c>
      <c r="D146" s="2" t="str">
        <f t="shared" si="8"/>
        <v>Saturday</v>
      </c>
      <c r="E146" s="4">
        <v>45983</v>
      </c>
      <c r="F146" s="63"/>
      <c r="G146" s="63"/>
      <c r="H146" s="65" t="str">
        <f>IF(OR(Table1[[#This Row],[US Holiday]]&lt;&gt;"", Table1[[#This Row],[India Holiday]]&lt;&gt;""), "Yes", "No")</f>
        <v>No</v>
      </c>
      <c r="I146" s="2" t="str">
        <f>IF(
  AND(
    WORKDAY(E146-1,1)=E146,
    _xlfn.CONCAT(F146:G146)=""
  ),
  _xlfn.MAXIFS(I$2:I145,C$2:C145,C146,B$2:B145,B146)+1,
  ""
)</f>
        <v/>
      </c>
    </row>
    <row r="147" spans="2:9" x14ac:dyDescent="0.25">
      <c r="B147" s="2">
        <f t="shared" si="6"/>
        <v>2025</v>
      </c>
      <c r="C147" s="2" t="str">
        <f t="shared" si="7"/>
        <v>November</v>
      </c>
      <c r="D147" s="2" t="str">
        <f t="shared" si="8"/>
        <v>Sunday</v>
      </c>
      <c r="E147" s="4">
        <v>45984</v>
      </c>
      <c r="F147" s="63"/>
      <c r="G147" s="63"/>
      <c r="H147" s="65" t="str">
        <f>IF(OR(Table1[[#This Row],[US Holiday]]&lt;&gt;"", Table1[[#This Row],[India Holiday]]&lt;&gt;""), "Yes", "No")</f>
        <v>No</v>
      </c>
      <c r="I147" s="2" t="str">
        <f>IF(
  AND(
    WORKDAY(E147-1,1)=E147,
    _xlfn.CONCAT(F147:G147)=""
  ),
  _xlfn.MAXIFS(I$2:I146,C$2:C146,C147,B$2:B146,B147)+1,
  ""
)</f>
        <v/>
      </c>
    </row>
    <row r="148" spans="2:9" x14ac:dyDescent="0.25">
      <c r="B148" s="2">
        <f t="shared" si="6"/>
        <v>2025</v>
      </c>
      <c r="C148" s="2" t="str">
        <f t="shared" si="7"/>
        <v>November</v>
      </c>
      <c r="D148" s="2" t="str">
        <f t="shared" si="8"/>
        <v>Monday</v>
      </c>
      <c r="E148" s="4">
        <v>45985</v>
      </c>
      <c r="F148" s="63"/>
      <c r="G148" s="63"/>
      <c r="H148" s="65" t="str">
        <f>IF(OR(Table1[[#This Row],[US Holiday]]&lt;&gt;"", Table1[[#This Row],[India Holiday]]&lt;&gt;""), "Yes", "No")</f>
        <v>No</v>
      </c>
      <c r="I148" s="2">
        <f>IF(
  AND(
    WORKDAY(E148-1,1)=E148,
    _xlfn.CONCAT(F148:G148)=""
  ),
  _xlfn.MAXIFS(I$2:I147,C$2:C147,C148,B$2:B147,B148)+1,
  ""
)</f>
        <v>16</v>
      </c>
    </row>
    <row r="149" spans="2:9" x14ac:dyDescent="0.25">
      <c r="B149" s="2">
        <f t="shared" si="6"/>
        <v>2025</v>
      </c>
      <c r="C149" s="2" t="str">
        <f t="shared" si="7"/>
        <v>November</v>
      </c>
      <c r="D149" s="2" t="str">
        <f t="shared" si="8"/>
        <v>Tuesday</v>
      </c>
      <c r="E149" s="4">
        <v>45986</v>
      </c>
      <c r="F149" s="63"/>
      <c r="G149" s="63"/>
      <c r="H149" s="65" t="str">
        <f>IF(OR(Table1[[#This Row],[US Holiday]]&lt;&gt;"", Table1[[#This Row],[India Holiday]]&lt;&gt;""), "Yes", "No")</f>
        <v>No</v>
      </c>
      <c r="I149" s="2">
        <f>IF(
  AND(
    WORKDAY(E149-1,1)=E149,
    _xlfn.CONCAT(F149:G149)=""
  ),
  _xlfn.MAXIFS(I$2:I148,C$2:C148,C149,B$2:B148,B149)+1,
  ""
)</f>
        <v>17</v>
      </c>
    </row>
    <row r="150" spans="2:9" x14ac:dyDescent="0.25">
      <c r="B150" s="2">
        <f t="shared" si="6"/>
        <v>2025</v>
      </c>
      <c r="C150" s="2" t="str">
        <f t="shared" si="7"/>
        <v>November</v>
      </c>
      <c r="D150" s="2" t="str">
        <f t="shared" si="8"/>
        <v>Wednesday</v>
      </c>
      <c r="E150" s="4">
        <v>45987</v>
      </c>
      <c r="F150" s="63"/>
      <c r="G150" s="63"/>
      <c r="H150" s="65" t="str">
        <f>IF(OR(Table1[[#This Row],[US Holiday]]&lt;&gt;"", Table1[[#This Row],[India Holiday]]&lt;&gt;""), "Yes", "No")</f>
        <v>No</v>
      </c>
      <c r="I150" s="2">
        <f>IF(
  AND(
    WORKDAY(E150-1,1)=E150,
    _xlfn.CONCAT(F150:G150)=""
  ),
  _xlfn.MAXIFS(I$2:I149,C$2:C149,C150,B$2:B149,B150)+1,
  ""
)</f>
        <v>18</v>
      </c>
    </row>
    <row r="151" spans="2:9" x14ac:dyDescent="0.25">
      <c r="B151" s="2">
        <f t="shared" si="6"/>
        <v>2025</v>
      </c>
      <c r="C151" s="2" t="str">
        <f t="shared" si="7"/>
        <v>November</v>
      </c>
      <c r="D151" s="2" t="str">
        <f t="shared" si="8"/>
        <v>Thursday</v>
      </c>
      <c r="E151" s="4">
        <v>45988</v>
      </c>
      <c r="F151" s="2" t="s">
        <v>126</v>
      </c>
      <c r="H151" s="65" t="str">
        <f>IF(OR(Table1[[#This Row],[US Holiday]]&lt;&gt;"", Table1[[#This Row],[India Holiday]]&lt;&gt;""), "Yes", "No")</f>
        <v>Yes</v>
      </c>
      <c r="I151" s="2" t="str">
        <f>IF(
  AND(
    WORKDAY(E151-1,1)=E151,
    _xlfn.CONCAT(F151:G151)=""
  ),
  _xlfn.MAXIFS(I$2:I150,C$2:C150,C151,B$2:B150,B151)+1,
  ""
)</f>
        <v/>
      </c>
    </row>
    <row r="152" spans="2:9" x14ac:dyDescent="0.25">
      <c r="B152" s="2">
        <f t="shared" si="6"/>
        <v>2025</v>
      </c>
      <c r="C152" s="2" t="str">
        <f t="shared" si="7"/>
        <v>November</v>
      </c>
      <c r="D152" s="2" t="str">
        <f t="shared" si="8"/>
        <v>Friday</v>
      </c>
      <c r="E152" s="4">
        <v>45989</v>
      </c>
      <c r="F152" s="2" t="s">
        <v>126</v>
      </c>
      <c r="H152" s="65" t="str">
        <f>IF(OR(Table1[[#This Row],[US Holiday]]&lt;&gt;"", Table1[[#This Row],[India Holiday]]&lt;&gt;""), "Yes", "No")</f>
        <v>Yes</v>
      </c>
      <c r="I152" s="2" t="str">
        <f>IF(
  AND(
    WORKDAY(E152-1,1)=E152,
    _xlfn.CONCAT(F152:G152)=""
  ),
  _xlfn.MAXIFS(I$2:I151,C$2:C151,C152,B$2:B151,B152)+1,
  ""
)</f>
        <v/>
      </c>
    </row>
    <row r="153" spans="2:9" x14ac:dyDescent="0.25">
      <c r="B153" s="2">
        <f t="shared" si="6"/>
        <v>2025</v>
      </c>
      <c r="C153" s="2" t="str">
        <f t="shared" si="7"/>
        <v>November</v>
      </c>
      <c r="D153" s="2" t="str">
        <f t="shared" si="8"/>
        <v>Saturday</v>
      </c>
      <c r="E153" s="4">
        <v>45990</v>
      </c>
      <c r="F153" s="63"/>
      <c r="G153" s="63"/>
      <c r="H153" s="65" t="str">
        <f>IF(OR(Table1[[#This Row],[US Holiday]]&lt;&gt;"", Table1[[#This Row],[India Holiday]]&lt;&gt;""), "Yes", "No")</f>
        <v>No</v>
      </c>
      <c r="I153" s="2" t="str">
        <f>IF(
  AND(
    WORKDAY(E153-1,1)=E153,
    _xlfn.CONCAT(F153:G153)=""
  ),
  _xlfn.MAXIFS(I$2:I152,C$2:C152,C153,B$2:B152,B153)+1,
  ""
)</f>
        <v/>
      </c>
    </row>
    <row r="154" spans="2:9" x14ac:dyDescent="0.25">
      <c r="B154" s="2">
        <f t="shared" si="6"/>
        <v>2025</v>
      </c>
      <c r="C154" s="2" t="str">
        <f t="shared" si="7"/>
        <v>November</v>
      </c>
      <c r="D154" s="2" t="str">
        <f t="shared" si="8"/>
        <v>Sunday</v>
      </c>
      <c r="E154" s="4">
        <v>45991</v>
      </c>
      <c r="F154" s="63"/>
      <c r="G154" s="63"/>
      <c r="H154" s="65" t="str">
        <f>IF(OR(Table1[[#This Row],[US Holiday]]&lt;&gt;"", Table1[[#This Row],[India Holiday]]&lt;&gt;""), "Yes", "No")</f>
        <v>No</v>
      </c>
      <c r="I154" s="2" t="str">
        <f>IF(
  AND(
    WORKDAY(E154-1,1)=E154,
    _xlfn.CONCAT(F154:G154)=""
  ),
  _xlfn.MAXIFS(I$2:I153,C$2:C153,C154,B$2:B153,B154)+1,
  ""
)</f>
        <v/>
      </c>
    </row>
    <row r="155" spans="2:9" x14ac:dyDescent="0.25">
      <c r="B155" s="2">
        <f t="shared" si="6"/>
        <v>2025</v>
      </c>
      <c r="C155" s="2" t="str">
        <f t="shared" si="7"/>
        <v>December</v>
      </c>
      <c r="D155" s="2" t="str">
        <f t="shared" si="8"/>
        <v>Monday</v>
      </c>
      <c r="E155" s="4">
        <v>45992</v>
      </c>
      <c r="F155" s="63"/>
      <c r="G155" s="63"/>
      <c r="H155" s="63" t="str">
        <f>IF(OR(Table1[[#This Row],[US Holiday]]&lt;&gt;"", Table1[[#This Row],[India Holiday]]&lt;&gt;""), "Yes", "No")</f>
        <v>No</v>
      </c>
      <c r="I155" s="2">
        <f>IF(
  AND(
    WORKDAY(E155-1,1)=E155,
    _xlfn.CONCAT(F155:G155)=""
  ),
  _xlfn.MAXIFS(I$2:I154,C$2:C154,C155,B$2:B154,B155)+1,
  ""
)</f>
        <v>1</v>
      </c>
    </row>
    <row r="156" spans="2:9" x14ac:dyDescent="0.25">
      <c r="B156" s="2">
        <f t="shared" si="6"/>
        <v>2025</v>
      </c>
      <c r="C156" s="2" t="str">
        <f t="shared" si="7"/>
        <v>December</v>
      </c>
      <c r="D156" s="2" t="str">
        <f t="shared" si="8"/>
        <v>Tuesday</v>
      </c>
      <c r="E156" s="4">
        <v>45993</v>
      </c>
      <c r="F156" s="63"/>
      <c r="G156" s="63"/>
      <c r="H156" s="63" t="str">
        <f>IF(OR(Table1[[#This Row],[US Holiday]]&lt;&gt;"", Table1[[#This Row],[India Holiday]]&lt;&gt;""), "Yes", "No")</f>
        <v>No</v>
      </c>
      <c r="I156" s="2">
        <f>IF(
  AND(
    WORKDAY(E156-1,1)=E156,
    _xlfn.CONCAT(F156:G156)=""
  ),
  _xlfn.MAXIFS(I$2:I155,C$2:C155,C156,B$2:B155,B156)+1,
  ""
)</f>
        <v>2</v>
      </c>
    </row>
    <row r="157" spans="2:9" x14ac:dyDescent="0.25">
      <c r="B157" s="2">
        <f t="shared" si="6"/>
        <v>2025</v>
      </c>
      <c r="C157" s="2" t="str">
        <f t="shared" si="7"/>
        <v>December</v>
      </c>
      <c r="D157" s="2" t="str">
        <f t="shared" si="8"/>
        <v>Wednesday</v>
      </c>
      <c r="E157" s="4">
        <v>45994</v>
      </c>
      <c r="F157" s="63"/>
      <c r="G157" s="63"/>
      <c r="H157" s="63" t="str">
        <f>IF(OR(Table1[[#This Row],[US Holiday]]&lt;&gt;"", Table1[[#This Row],[India Holiday]]&lt;&gt;""), "Yes", "No")</f>
        <v>No</v>
      </c>
      <c r="I157" s="2">
        <f>IF(
  AND(
    WORKDAY(E157-1,1)=E157,
    _xlfn.CONCAT(F157:G157)=""
  ),
  _xlfn.MAXIFS(I$2:I156,C$2:C156,C157,B$2:B156,B157)+1,
  ""
)</f>
        <v>3</v>
      </c>
    </row>
    <row r="158" spans="2:9" x14ac:dyDescent="0.25">
      <c r="B158" s="2">
        <f t="shared" si="6"/>
        <v>2025</v>
      </c>
      <c r="C158" s="2" t="str">
        <f t="shared" si="7"/>
        <v>December</v>
      </c>
      <c r="D158" s="2" t="str">
        <f t="shared" si="8"/>
        <v>Thursday</v>
      </c>
      <c r="E158" s="4">
        <v>45995</v>
      </c>
      <c r="F158" s="63"/>
      <c r="G158" s="63"/>
      <c r="H158" s="63" t="str">
        <f>IF(OR(Table1[[#This Row],[US Holiday]]&lt;&gt;"", Table1[[#This Row],[India Holiday]]&lt;&gt;""), "Yes", "No")</f>
        <v>No</v>
      </c>
      <c r="I158" s="2">
        <f>IF(
  AND(
    WORKDAY(E158-1,1)=E158,
    _xlfn.CONCAT(F158:G158)=""
  ),
  _xlfn.MAXIFS(I$2:I157,C$2:C157,C158,B$2:B157,B158)+1,
  ""
)</f>
        <v>4</v>
      </c>
    </row>
    <row r="159" spans="2:9" x14ac:dyDescent="0.25">
      <c r="B159" s="2">
        <f t="shared" si="6"/>
        <v>2025</v>
      </c>
      <c r="C159" s="2" t="str">
        <f t="shared" si="7"/>
        <v>December</v>
      </c>
      <c r="D159" s="2" t="str">
        <f t="shared" si="8"/>
        <v>Friday</v>
      </c>
      <c r="E159" s="4">
        <v>45996</v>
      </c>
      <c r="F159" s="63"/>
      <c r="G159" s="63"/>
      <c r="H159" s="63" t="str">
        <f>IF(OR(Table1[[#This Row],[US Holiday]]&lt;&gt;"", Table1[[#This Row],[India Holiday]]&lt;&gt;""), "Yes", "No")</f>
        <v>No</v>
      </c>
      <c r="I159" s="2">
        <f>IF(
  AND(
    WORKDAY(E159-1,1)=E159,
    _xlfn.CONCAT(F159:G159)=""
  ),
  _xlfn.MAXIFS(I$2:I158,C$2:C158,C159,B$2:B158,B159)+1,
  ""
)</f>
        <v>5</v>
      </c>
    </row>
    <row r="160" spans="2:9" x14ac:dyDescent="0.25">
      <c r="B160" s="2">
        <f t="shared" si="6"/>
        <v>2025</v>
      </c>
      <c r="C160" s="2" t="str">
        <f t="shared" si="7"/>
        <v>December</v>
      </c>
      <c r="D160" s="2" t="str">
        <f t="shared" si="8"/>
        <v>Saturday</v>
      </c>
      <c r="E160" s="4">
        <v>45997</v>
      </c>
      <c r="F160" s="63"/>
      <c r="G160" s="63"/>
      <c r="H160" s="63" t="str">
        <f>IF(OR(Table1[[#This Row],[US Holiday]]&lt;&gt;"", Table1[[#This Row],[India Holiday]]&lt;&gt;""), "Yes", "No")</f>
        <v>No</v>
      </c>
      <c r="I160" s="2" t="str">
        <f>IF(
  AND(
    WORKDAY(E160-1,1)=E160,
    _xlfn.CONCAT(F160:G160)=""
  ),
  _xlfn.MAXIFS(I$2:I159,C$2:C159,C160,B$2:B159,B160)+1,
  ""
)</f>
        <v/>
      </c>
    </row>
    <row r="161" spans="2:9" x14ac:dyDescent="0.25">
      <c r="B161" s="2">
        <f t="shared" si="6"/>
        <v>2025</v>
      </c>
      <c r="C161" s="2" t="str">
        <f t="shared" si="7"/>
        <v>December</v>
      </c>
      <c r="D161" s="2" t="str">
        <f t="shared" si="8"/>
        <v>Sunday</v>
      </c>
      <c r="E161" s="4">
        <v>45998</v>
      </c>
      <c r="F161" s="63"/>
      <c r="G161" s="63"/>
      <c r="H161" s="63" t="str">
        <f>IF(OR(Table1[[#This Row],[US Holiday]]&lt;&gt;"", Table1[[#This Row],[India Holiday]]&lt;&gt;""), "Yes", "No")</f>
        <v>No</v>
      </c>
      <c r="I161" s="2" t="str">
        <f>IF(
  AND(
    WORKDAY(E161-1,1)=E161,
    _xlfn.CONCAT(F161:G161)=""
  ),
  _xlfn.MAXIFS(I$2:I160,C$2:C160,C161,B$2:B160,B161)+1,
  ""
)</f>
        <v/>
      </c>
    </row>
    <row r="162" spans="2:9" x14ac:dyDescent="0.25">
      <c r="B162" s="2">
        <f t="shared" si="6"/>
        <v>2025</v>
      </c>
      <c r="C162" s="2" t="str">
        <f t="shared" si="7"/>
        <v>December</v>
      </c>
      <c r="D162" s="2" t="str">
        <f t="shared" si="8"/>
        <v>Monday</v>
      </c>
      <c r="E162" s="4">
        <v>45999</v>
      </c>
      <c r="F162" s="63"/>
      <c r="G162" s="63"/>
      <c r="H162" s="63" t="str">
        <f>IF(OR(Table1[[#This Row],[US Holiday]]&lt;&gt;"", Table1[[#This Row],[India Holiday]]&lt;&gt;""), "Yes", "No")</f>
        <v>No</v>
      </c>
      <c r="I162" s="2">
        <f>IF(
  AND(
    WORKDAY(E162-1,1)=E162,
    _xlfn.CONCAT(F162:G162)=""
  ),
  _xlfn.MAXIFS(I$2:I161,C$2:C161,C162,B$2:B161,B162)+1,
  ""
)</f>
        <v>6</v>
      </c>
    </row>
    <row r="163" spans="2:9" x14ac:dyDescent="0.25">
      <c r="B163" s="2">
        <f t="shared" si="6"/>
        <v>2025</v>
      </c>
      <c r="C163" s="2" t="str">
        <f t="shared" si="7"/>
        <v>December</v>
      </c>
      <c r="D163" s="2" t="str">
        <f t="shared" si="8"/>
        <v>Tuesday</v>
      </c>
      <c r="E163" s="4">
        <v>46000</v>
      </c>
      <c r="F163" s="63"/>
      <c r="G163" s="63"/>
      <c r="H163" s="63" t="str">
        <f>IF(OR(Table1[[#This Row],[US Holiday]]&lt;&gt;"", Table1[[#This Row],[India Holiday]]&lt;&gt;""), "Yes", "No")</f>
        <v>No</v>
      </c>
      <c r="I163" s="2">
        <f>IF(
  AND(
    WORKDAY(E163-1,1)=E163,
    _xlfn.CONCAT(F163:G163)=""
  ),
  _xlfn.MAXIFS(I$2:I162,C$2:C162,C163,B$2:B162,B163)+1,
  ""
)</f>
        <v>7</v>
      </c>
    </row>
    <row r="164" spans="2:9" x14ac:dyDescent="0.25">
      <c r="B164" s="2">
        <f t="shared" si="6"/>
        <v>2025</v>
      </c>
      <c r="C164" s="2" t="str">
        <f t="shared" si="7"/>
        <v>December</v>
      </c>
      <c r="D164" s="2" t="str">
        <f t="shared" si="8"/>
        <v>Wednesday</v>
      </c>
      <c r="E164" s="4">
        <v>46001</v>
      </c>
      <c r="F164" s="63"/>
      <c r="G164" s="63"/>
      <c r="H164" s="63" t="str">
        <f>IF(OR(Table1[[#This Row],[US Holiday]]&lt;&gt;"", Table1[[#This Row],[India Holiday]]&lt;&gt;""), "Yes", "No")</f>
        <v>No</v>
      </c>
      <c r="I164" s="2">
        <f>IF(
  AND(
    WORKDAY(E164-1,1)=E164,
    _xlfn.CONCAT(F164:G164)=""
  ),
  _xlfn.MAXIFS(I$2:I163,C$2:C163,C164,B$2:B163,B164)+1,
  ""
)</f>
        <v>8</v>
      </c>
    </row>
    <row r="165" spans="2:9" x14ac:dyDescent="0.25">
      <c r="B165" s="2">
        <f t="shared" si="6"/>
        <v>2025</v>
      </c>
      <c r="C165" s="2" t="str">
        <f t="shared" si="7"/>
        <v>December</v>
      </c>
      <c r="D165" s="2" t="str">
        <f t="shared" si="8"/>
        <v>Thursday</v>
      </c>
      <c r="E165" s="4">
        <v>46002</v>
      </c>
      <c r="F165" s="63"/>
      <c r="G165" s="63"/>
      <c r="H165" s="63" t="str">
        <f>IF(OR(Table1[[#This Row],[US Holiday]]&lt;&gt;"", Table1[[#This Row],[India Holiday]]&lt;&gt;""), "Yes", "No")</f>
        <v>No</v>
      </c>
      <c r="I165" s="2">
        <f>IF(
  AND(
    WORKDAY(E165-1,1)=E165,
    _xlfn.CONCAT(F165:G165)=""
  ),
  _xlfn.MAXIFS(I$2:I164,C$2:C164,C165,B$2:B164,B165)+1,
  ""
)</f>
        <v>9</v>
      </c>
    </row>
    <row r="166" spans="2:9" x14ac:dyDescent="0.25">
      <c r="B166" s="2">
        <f t="shared" si="6"/>
        <v>2025</v>
      </c>
      <c r="C166" s="2" t="str">
        <f t="shared" si="7"/>
        <v>December</v>
      </c>
      <c r="D166" s="2" t="str">
        <f t="shared" si="8"/>
        <v>Friday</v>
      </c>
      <c r="E166" s="4">
        <v>46003</v>
      </c>
      <c r="F166" s="63"/>
      <c r="G166" s="63"/>
      <c r="H166" s="63" t="str">
        <f>IF(OR(Table1[[#This Row],[US Holiday]]&lt;&gt;"", Table1[[#This Row],[India Holiday]]&lt;&gt;""), "Yes", "No")</f>
        <v>No</v>
      </c>
      <c r="I166" s="2">
        <f>IF(
  AND(
    WORKDAY(E166-1,1)=E166,
    _xlfn.CONCAT(F166:G166)=""
  ),
  _xlfn.MAXIFS(I$2:I165,C$2:C165,C166,B$2:B165,B166)+1,
  ""
)</f>
        <v>10</v>
      </c>
    </row>
    <row r="167" spans="2:9" x14ac:dyDescent="0.25">
      <c r="B167" s="2">
        <f t="shared" si="6"/>
        <v>2025</v>
      </c>
      <c r="C167" s="2" t="str">
        <f t="shared" si="7"/>
        <v>December</v>
      </c>
      <c r="D167" s="2" t="str">
        <f t="shared" si="8"/>
        <v>Saturday</v>
      </c>
      <c r="E167" s="4">
        <v>46004</v>
      </c>
      <c r="F167" s="63"/>
      <c r="G167" s="63"/>
      <c r="H167" s="63" t="str">
        <f>IF(OR(Table1[[#This Row],[US Holiday]]&lt;&gt;"", Table1[[#This Row],[India Holiday]]&lt;&gt;""), "Yes", "No")</f>
        <v>No</v>
      </c>
      <c r="I167" s="2" t="str">
        <f>IF(
  AND(
    WORKDAY(E167-1,1)=E167,
    _xlfn.CONCAT(F167:G167)=""
  ),
  _xlfn.MAXIFS(I$2:I166,C$2:C166,C167,B$2:B166,B167)+1,
  ""
)</f>
        <v/>
      </c>
    </row>
    <row r="168" spans="2:9" x14ac:dyDescent="0.25">
      <c r="B168" s="2">
        <f t="shared" si="6"/>
        <v>2025</v>
      </c>
      <c r="C168" s="2" t="str">
        <f t="shared" si="7"/>
        <v>December</v>
      </c>
      <c r="D168" s="2" t="str">
        <f t="shared" si="8"/>
        <v>Sunday</v>
      </c>
      <c r="E168" s="4">
        <v>46005</v>
      </c>
      <c r="F168" s="63"/>
      <c r="G168" s="63"/>
      <c r="H168" s="63" t="str">
        <f>IF(OR(Table1[[#This Row],[US Holiday]]&lt;&gt;"", Table1[[#This Row],[India Holiday]]&lt;&gt;""), "Yes", "No")</f>
        <v>No</v>
      </c>
      <c r="I168" s="2" t="str">
        <f>IF(
  AND(
    WORKDAY(E168-1,1)=E168,
    _xlfn.CONCAT(F168:G168)=""
  ),
  _xlfn.MAXIFS(I$2:I167,C$2:C167,C168,B$2:B167,B168)+1,
  ""
)</f>
        <v/>
      </c>
    </row>
    <row r="169" spans="2:9" x14ac:dyDescent="0.25">
      <c r="B169" s="2">
        <f t="shared" si="6"/>
        <v>2025</v>
      </c>
      <c r="C169" s="2" t="str">
        <f t="shared" si="7"/>
        <v>December</v>
      </c>
      <c r="D169" s="2" t="str">
        <f t="shared" si="8"/>
        <v>Monday</v>
      </c>
      <c r="E169" s="4">
        <v>46006</v>
      </c>
      <c r="F169" s="63"/>
      <c r="G169" s="63"/>
      <c r="H169" s="63" t="str">
        <f>IF(OR(Table1[[#This Row],[US Holiday]]&lt;&gt;"", Table1[[#This Row],[India Holiday]]&lt;&gt;""), "Yes", "No")</f>
        <v>No</v>
      </c>
      <c r="I169" s="2">
        <f>IF(
  AND(
    WORKDAY(E169-1,1)=E169,
    _xlfn.CONCAT(F169:G169)=""
  ),
  _xlfn.MAXIFS(I$2:I168,C$2:C168,C169,B$2:B168,B169)+1,
  ""
)</f>
        <v>11</v>
      </c>
    </row>
    <row r="170" spans="2:9" x14ac:dyDescent="0.25">
      <c r="B170" s="2">
        <f t="shared" si="6"/>
        <v>2025</v>
      </c>
      <c r="C170" s="2" t="str">
        <f t="shared" si="7"/>
        <v>December</v>
      </c>
      <c r="D170" s="2" t="str">
        <f t="shared" si="8"/>
        <v>Tuesday</v>
      </c>
      <c r="E170" s="4">
        <v>46007</v>
      </c>
      <c r="F170" s="63"/>
      <c r="G170" s="63"/>
      <c r="H170" s="63" t="str">
        <f>IF(OR(Table1[[#This Row],[US Holiday]]&lt;&gt;"", Table1[[#This Row],[India Holiday]]&lt;&gt;""), "Yes", "No")</f>
        <v>No</v>
      </c>
      <c r="I170" s="2">
        <f>IF(
  AND(
    WORKDAY(E170-1,1)=E170,
    _xlfn.CONCAT(F170:G170)=""
  ),
  _xlfn.MAXIFS(I$2:I169,C$2:C169,C170,B$2:B169,B170)+1,
  ""
)</f>
        <v>12</v>
      </c>
    </row>
    <row r="171" spans="2:9" x14ac:dyDescent="0.25">
      <c r="B171" s="2">
        <f t="shared" si="6"/>
        <v>2025</v>
      </c>
      <c r="C171" s="2" t="str">
        <f t="shared" si="7"/>
        <v>December</v>
      </c>
      <c r="D171" s="2" t="str">
        <f t="shared" si="8"/>
        <v>Wednesday</v>
      </c>
      <c r="E171" s="4">
        <v>46008</v>
      </c>
      <c r="F171" s="63"/>
      <c r="G171" s="63"/>
      <c r="H171" s="63" t="str">
        <f>IF(OR(Table1[[#This Row],[US Holiday]]&lt;&gt;"", Table1[[#This Row],[India Holiday]]&lt;&gt;""), "Yes", "No")</f>
        <v>No</v>
      </c>
      <c r="I171" s="2">
        <f>IF(
  AND(
    WORKDAY(E171-1,1)=E171,
    _xlfn.CONCAT(F171:G171)=""
  ),
  _xlfn.MAXIFS(I$2:I170,C$2:C170,C171,B$2:B170,B171)+1,
  ""
)</f>
        <v>13</v>
      </c>
    </row>
    <row r="172" spans="2:9" x14ac:dyDescent="0.25">
      <c r="B172" s="2">
        <f t="shared" si="6"/>
        <v>2025</v>
      </c>
      <c r="C172" s="2" t="str">
        <f t="shared" si="7"/>
        <v>December</v>
      </c>
      <c r="D172" s="2" t="str">
        <f t="shared" si="8"/>
        <v>Thursday</v>
      </c>
      <c r="E172" s="4">
        <v>46009</v>
      </c>
      <c r="F172" s="63"/>
      <c r="G172" s="63"/>
      <c r="H172" s="63" t="str">
        <f>IF(OR(Table1[[#This Row],[US Holiday]]&lt;&gt;"", Table1[[#This Row],[India Holiday]]&lt;&gt;""), "Yes", "No")</f>
        <v>No</v>
      </c>
      <c r="I172" s="2">
        <f>IF(
  AND(
    WORKDAY(E172-1,1)=E172,
    _xlfn.CONCAT(F172:G172)=""
  ),
  _xlfn.MAXIFS(I$2:I171,C$2:C171,C172,B$2:B171,B172)+1,
  ""
)</f>
        <v>14</v>
      </c>
    </row>
    <row r="173" spans="2:9" x14ac:dyDescent="0.25">
      <c r="B173" s="2">
        <f t="shared" si="6"/>
        <v>2025</v>
      </c>
      <c r="C173" s="2" t="str">
        <f t="shared" si="7"/>
        <v>December</v>
      </c>
      <c r="D173" s="2" t="str">
        <f t="shared" si="8"/>
        <v>Friday</v>
      </c>
      <c r="E173" s="4">
        <v>46010</v>
      </c>
      <c r="F173" s="63"/>
      <c r="G173" s="63"/>
      <c r="H173" s="63" t="str">
        <f>IF(OR(Table1[[#This Row],[US Holiday]]&lt;&gt;"", Table1[[#This Row],[India Holiday]]&lt;&gt;""), "Yes", "No")</f>
        <v>No</v>
      </c>
      <c r="I173" s="2">
        <f>IF(
  AND(
    WORKDAY(E173-1,1)=E173,
    _xlfn.CONCAT(F173:G173)=""
  ),
  _xlfn.MAXIFS(I$2:I172,C$2:C172,C173,B$2:B172,B173)+1,
  ""
)</f>
        <v>15</v>
      </c>
    </row>
    <row r="174" spans="2:9" x14ac:dyDescent="0.25">
      <c r="B174" s="2">
        <f t="shared" si="6"/>
        <v>2025</v>
      </c>
      <c r="C174" s="2" t="str">
        <f t="shared" si="7"/>
        <v>December</v>
      </c>
      <c r="D174" s="2" t="str">
        <f t="shared" si="8"/>
        <v>Saturday</v>
      </c>
      <c r="E174" s="4">
        <v>46011</v>
      </c>
      <c r="F174" s="63"/>
      <c r="G174" s="63"/>
      <c r="H174" s="63" t="str">
        <f>IF(OR(Table1[[#This Row],[US Holiday]]&lt;&gt;"", Table1[[#This Row],[India Holiday]]&lt;&gt;""), "Yes", "No")</f>
        <v>No</v>
      </c>
      <c r="I174" s="2" t="str">
        <f>IF(
  AND(
    WORKDAY(E174-1,1)=E174,
    _xlfn.CONCAT(F174:G174)=""
  ),
  _xlfn.MAXIFS(I$2:I173,C$2:C173,C174,B$2:B173,B174)+1,
  ""
)</f>
        <v/>
      </c>
    </row>
    <row r="175" spans="2:9" x14ac:dyDescent="0.25">
      <c r="B175" s="2">
        <f t="shared" si="6"/>
        <v>2025</v>
      </c>
      <c r="C175" s="2" t="str">
        <f t="shared" si="7"/>
        <v>December</v>
      </c>
      <c r="D175" s="2" t="str">
        <f t="shared" si="8"/>
        <v>Sunday</v>
      </c>
      <c r="E175" s="4">
        <v>46012</v>
      </c>
      <c r="F175" s="63"/>
      <c r="G175" s="63"/>
      <c r="H175" s="63" t="str">
        <f>IF(OR(Table1[[#This Row],[US Holiday]]&lt;&gt;"", Table1[[#This Row],[India Holiday]]&lt;&gt;""), "Yes", "No")</f>
        <v>No</v>
      </c>
      <c r="I175" s="2" t="str">
        <f>IF(
  AND(
    WORKDAY(E175-1,1)=E175,
    _xlfn.CONCAT(F175:G175)=""
  ),
  _xlfn.MAXIFS(I$2:I174,C$2:C174,C175,B$2:B174,B175)+1,
  ""
)</f>
        <v/>
      </c>
    </row>
    <row r="176" spans="2:9" x14ac:dyDescent="0.25">
      <c r="B176" s="2">
        <f t="shared" si="6"/>
        <v>2025</v>
      </c>
      <c r="C176" s="2" t="str">
        <f t="shared" si="7"/>
        <v>December</v>
      </c>
      <c r="D176" s="2" t="str">
        <f t="shared" si="8"/>
        <v>Monday</v>
      </c>
      <c r="E176" s="4">
        <v>46013</v>
      </c>
      <c r="F176" s="63"/>
      <c r="G176" s="63"/>
      <c r="H176" s="63" t="str">
        <f>IF(OR(Table1[[#This Row],[US Holiday]]&lt;&gt;"", Table1[[#This Row],[India Holiday]]&lt;&gt;""), "Yes", "No")</f>
        <v>No</v>
      </c>
      <c r="I176" s="2">
        <f>IF(
  AND(
    WORKDAY(E176-1,1)=E176,
    _xlfn.CONCAT(F176:G176)=""
  ),
  _xlfn.MAXIFS(I$2:I175,C$2:C175,C176,B$2:B175,B176)+1,
  ""
)</f>
        <v>16</v>
      </c>
    </row>
    <row r="177" spans="2:9" x14ac:dyDescent="0.25">
      <c r="B177" s="2">
        <f t="shared" si="6"/>
        <v>2025</v>
      </c>
      <c r="C177" s="2" t="str">
        <f t="shared" si="7"/>
        <v>December</v>
      </c>
      <c r="D177" s="2" t="str">
        <f t="shared" si="8"/>
        <v>Tuesday</v>
      </c>
      <c r="E177" s="4">
        <v>46014</v>
      </c>
      <c r="F177" s="63"/>
      <c r="G177" s="63"/>
      <c r="H177" s="63" t="str">
        <f>IF(OR(Table1[[#This Row],[US Holiday]]&lt;&gt;"", Table1[[#This Row],[India Holiday]]&lt;&gt;""), "Yes", "No")</f>
        <v>No</v>
      </c>
      <c r="I177" s="2">
        <f>IF(
  AND(
    WORKDAY(E177-1,1)=E177,
    _xlfn.CONCAT(F177:G177)=""
  ),
  _xlfn.MAXIFS(I$2:I176,C$2:C176,C177,B$2:B176,B177)+1,
  ""
)</f>
        <v>17</v>
      </c>
    </row>
    <row r="178" spans="2:9" x14ac:dyDescent="0.25">
      <c r="B178" s="2">
        <f t="shared" si="6"/>
        <v>2025</v>
      </c>
      <c r="C178" s="2" t="str">
        <f t="shared" si="7"/>
        <v>December</v>
      </c>
      <c r="D178" s="2" t="str">
        <f t="shared" si="8"/>
        <v>Wednesday</v>
      </c>
      <c r="E178" s="4">
        <v>46015</v>
      </c>
      <c r="F178" s="63"/>
      <c r="G178" s="63"/>
      <c r="H178" s="63" t="str">
        <f>IF(OR(Table1[[#This Row],[US Holiday]]&lt;&gt;"", Table1[[#This Row],[India Holiday]]&lt;&gt;""), "Yes", "No")</f>
        <v>No</v>
      </c>
      <c r="I178" s="2">
        <f>IF(
  AND(
    WORKDAY(E178-1,1)=E178,
    _xlfn.CONCAT(F178:G178)=""
  ),
  _xlfn.MAXIFS(I$2:I177,C$2:C177,C178,B$2:B177,B178)+1,
  ""
)</f>
        <v>18</v>
      </c>
    </row>
    <row r="179" spans="2:9" x14ac:dyDescent="0.25">
      <c r="B179" s="2">
        <f t="shared" si="6"/>
        <v>2025</v>
      </c>
      <c r="C179" s="2" t="str">
        <f t="shared" si="7"/>
        <v>December</v>
      </c>
      <c r="D179" s="2" t="str">
        <f t="shared" si="8"/>
        <v>Thursday</v>
      </c>
      <c r="E179" s="4">
        <v>46016</v>
      </c>
      <c r="F179" s="65" t="s">
        <v>124</v>
      </c>
      <c r="G179" s="65"/>
      <c r="H179" s="65" t="str">
        <f>IF(OR(Table1[[#This Row],[US Holiday]]&lt;&gt;"", Table1[[#This Row],[India Holiday]]&lt;&gt;""), "Yes", "No")</f>
        <v>Yes</v>
      </c>
      <c r="I179" s="2" t="str">
        <f>IF(
  AND(
    WORKDAY(E179-1,1)=E179,
    _xlfn.CONCAT(F179:G179)=""
  ),
  _xlfn.MAXIFS(I$2:I178,C$2:C178,C179,B$2:B178,B179)+1,
  ""
)</f>
        <v/>
      </c>
    </row>
    <row r="180" spans="2:9" x14ac:dyDescent="0.25">
      <c r="B180" s="2">
        <f t="shared" si="6"/>
        <v>2025</v>
      </c>
      <c r="C180" s="2" t="str">
        <f t="shared" si="7"/>
        <v>December</v>
      </c>
      <c r="D180" s="2" t="str">
        <f t="shared" si="8"/>
        <v>Friday</v>
      </c>
      <c r="E180" s="4">
        <v>46017</v>
      </c>
      <c r="F180" s="63"/>
      <c r="G180" s="63"/>
      <c r="H180" s="63" t="str">
        <f>IF(OR(Table1[[#This Row],[US Holiday]]&lt;&gt;"", Table1[[#This Row],[India Holiday]]&lt;&gt;""), "Yes", "No")</f>
        <v>No</v>
      </c>
      <c r="I180" s="2">
        <f>IF(
  AND(
    WORKDAY(E180-1,1)=E180,
    _xlfn.CONCAT(F180:G180)=""
  ),
  _xlfn.MAXIFS(I$2:I179,C$2:C179,C180,B$2:B179,B180)+1,
  ""
)</f>
        <v>19</v>
      </c>
    </row>
    <row r="181" spans="2:9" x14ac:dyDescent="0.25">
      <c r="B181" s="2">
        <f t="shared" si="6"/>
        <v>2025</v>
      </c>
      <c r="C181" s="2" t="str">
        <f t="shared" si="7"/>
        <v>December</v>
      </c>
      <c r="D181" s="2" t="str">
        <f t="shared" si="8"/>
        <v>Saturday</v>
      </c>
      <c r="E181" s="4">
        <v>46018</v>
      </c>
      <c r="F181" s="63"/>
      <c r="G181" s="63"/>
      <c r="H181" s="63" t="str">
        <f>IF(OR(Table1[[#This Row],[US Holiday]]&lt;&gt;"", Table1[[#This Row],[India Holiday]]&lt;&gt;""), "Yes", "No")</f>
        <v>No</v>
      </c>
      <c r="I181" s="2" t="str">
        <f>IF(
  AND(
    WORKDAY(E181-1,1)=E181,
    _xlfn.CONCAT(F181:G181)=""
  ),
  _xlfn.MAXIFS(I$2:I180,C$2:C180,C181,B$2:B180,B181)+1,
  ""
)</f>
        <v/>
      </c>
    </row>
    <row r="182" spans="2:9" x14ac:dyDescent="0.25">
      <c r="B182" s="2">
        <f t="shared" si="6"/>
        <v>2025</v>
      </c>
      <c r="C182" s="2" t="str">
        <f t="shared" si="7"/>
        <v>December</v>
      </c>
      <c r="D182" s="2" t="str">
        <f t="shared" si="8"/>
        <v>Sunday</v>
      </c>
      <c r="E182" s="4">
        <v>46019</v>
      </c>
      <c r="F182" s="63"/>
      <c r="G182" s="63"/>
      <c r="H182" s="63" t="str">
        <f>IF(OR(Table1[[#This Row],[US Holiday]]&lt;&gt;"", Table1[[#This Row],[India Holiday]]&lt;&gt;""), "Yes", "No")</f>
        <v>No</v>
      </c>
      <c r="I182" s="2" t="str">
        <f>IF(
  AND(
    WORKDAY(E182-1,1)=E182,
    _xlfn.CONCAT(F182:G182)=""
  ),
  _xlfn.MAXIFS(I$2:I181,C$2:C181,C182,B$2:B181,B182)+1,
  ""
)</f>
        <v/>
      </c>
    </row>
    <row r="183" spans="2:9" x14ac:dyDescent="0.25">
      <c r="B183" s="2">
        <f t="shared" si="6"/>
        <v>2025</v>
      </c>
      <c r="C183" s="2" t="str">
        <f t="shared" si="7"/>
        <v>December</v>
      </c>
      <c r="D183" s="2" t="str">
        <f t="shared" si="8"/>
        <v>Monday</v>
      </c>
      <c r="E183" s="4">
        <v>46020</v>
      </c>
      <c r="F183" s="63"/>
      <c r="G183" s="63"/>
      <c r="H183" s="63" t="str">
        <f>IF(OR(Table1[[#This Row],[US Holiday]]&lt;&gt;"", Table1[[#This Row],[India Holiday]]&lt;&gt;""), "Yes", "No")</f>
        <v>No</v>
      </c>
      <c r="I183" s="2">
        <f>IF(
  AND(
    WORKDAY(E183-1,1)=E183,
    _xlfn.CONCAT(F183:G183)=""
  ),
  _xlfn.MAXIFS(I$2:I182,C$2:C182,C183,B$2:B182,B183)+1,
  ""
)</f>
        <v>20</v>
      </c>
    </row>
    <row r="184" spans="2:9" x14ac:dyDescent="0.25">
      <c r="B184" s="2">
        <f t="shared" si="6"/>
        <v>2025</v>
      </c>
      <c r="C184" s="2" t="str">
        <f t="shared" si="7"/>
        <v>December</v>
      </c>
      <c r="D184" s="2" t="str">
        <f t="shared" si="8"/>
        <v>Tuesday</v>
      </c>
      <c r="E184" s="4">
        <v>46021</v>
      </c>
      <c r="F184" s="63"/>
      <c r="G184" s="63"/>
      <c r="H184" s="63" t="str">
        <f>IF(OR(Table1[[#This Row],[US Holiday]]&lt;&gt;"", Table1[[#This Row],[India Holiday]]&lt;&gt;""), "Yes", "No")</f>
        <v>No</v>
      </c>
      <c r="I184" s="2">
        <f>IF(
  AND(
    WORKDAY(E184-1,1)=E184,
    _xlfn.CONCAT(F184:G184)=""
  ),
  _xlfn.MAXIFS(I$2:I183,C$2:C183,C184,B$2:B183,B184)+1,
  ""
)</f>
        <v>21</v>
      </c>
    </row>
    <row r="185" spans="2:9" x14ac:dyDescent="0.25">
      <c r="B185" s="2">
        <f t="shared" si="6"/>
        <v>2025</v>
      </c>
      <c r="C185" s="2" t="str">
        <f t="shared" si="7"/>
        <v>December</v>
      </c>
      <c r="D185" s="2" t="str">
        <f t="shared" si="8"/>
        <v>Wednesday</v>
      </c>
      <c r="E185" s="4">
        <v>46022</v>
      </c>
      <c r="F185" s="63"/>
      <c r="G185" s="63"/>
      <c r="H185" s="63" t="str">
        <f>IF(OR(Table1[[#This Row],[US Holiday]]&lt;&gt;"", Table1[[#This Row],[India Holiday]]&lt;&gt;""), "Yes", "No")</f>
        <v>No</v>
      </c>
      <c r="I185" s="2">
        <f>IF(
  AND(
    WORKDAY(E185-1,1)=E185,
    _xlfn.CONCAT(F185:G185)=""
  ),
  _xlfn.MAXIFS(I$2:I184,C$2:C184,C185,B$2:B184,B185)+1,
  ""
)</f>
        <v>22</v>
      </c>
    </row>
    <row r="186" spans="2:9" x14ac:dyDescent="0.25">
      <c r="B186" s="2">
        <f t="shared" si="6"/>
        <v>2026</v>
      </c>
      <c r="C186" s="2" t="str">
        <f t="shared" ref="C186:C192" si="9">TEXT(E186,"mmmm")</f>
        <v>January</v>
      </c>
      <c r="D186" s="2" t="str">
        <f t="shared" si="8"/>
        <v>Thursday</v>
      </c>
      <c r="E186" s="4">
        <v>46023</v>
      </c>
      <c r="H186" s="3" t="str">
        <f>IF(OR(Table1[[#This Row],[US Holiday]]&lt;&gt;"", Table1[[#This Row],[India Holiday]]&lt;&gt;""), "Yes", "No")</f>
        <v>No</v>
      </c>
      <c r="I186" s="2">
        <f>IF(
  AND(
    WORKDAY(E186-1,1)=E186,
    _xlfn.CONCAT(F186:G186)=""
  ),
  _xlfn.MAXIFS(I$2:I185,C$2:C185,C186,B$2:B185,B186)+1,
  ""
)</f>
        <v>1</v>
      </c>
    </row>
    <row r="187" spans="2:9" x14ac:dyDescent="0.25">
      <c r="B187" s="2">
        <f t="shared" si="6"/>
        <v>2026</v>
      </c>
      <c r="C187" s="2" t="str">
        <f t="shared" si="9"/>
        <v>January</v>
      </c>
      <c r="D187" s="2" t="str">
        <f t="shared" si="8"/>
        <v>Friday</v>
      </c>
      <c r="E187" s="4">
        <v>46024</v>
      </c>
      <c r="H187" s="3" t="str">
        <f>IF(OR(Table1[[#This Row],[US Holiday]]&lt;&gt;"", Table1[[#This Row],[India Holiday]]&lt;&gt;""), "Yes", "No")</f>
        <v>No</v>
      </c>
      <c r="I187" s="2">
        <f>IF(
  AND(
    WORKDAY(E187-1,1)=E187,
    _xlfn.CONCAT(F187:G187)=""
  ),
  _xlfn.MAXIFS(I$2:I186,C$2:C186,C187,B$2:B186,B187)+1,
  ""
)</f>
        <v>2</v>
      </c>
    </row>
    <row r="188" spans="2:9" x14ac:dyDescent="0.25">
      <c r="B188" s="2">
        <f t="shared" si="6"/>
        <v>2026</v>
      </c>
      <c r="C188" s="2" t="str">
        <f t="shared" si="9"/>
        <v>January</v>
      </c>
      <c r="D188" s="2" t="str">
        <f t="shared" si="8"/>
        <v>Saturday</v>
      </c>
      <c r="E188" s="4">
        <v>46025</v>
      </c>
      <c r="H188" s="3" t="str">
        <f>IF(OR(Table1[[#This Row],[US Holiday]]&lt;&gt;"", Table1[[#This Row],[India Holiday]]&lt;&gt;""), "Yes", "No")</f>
        <v>No</v>
      </c>
      <c r="I188" s="2" t="str">
        <f>IF(
  AND(
    WORKDAY(E188-1,1)=E188,
    _xlfn.CONCAT(F188:G188)=""
  ),
  _xlfn.MAXIFS(I$2:I187,C$2:C187,C188,B$2:B187,B188)+1,
  ""
)</f>
        <v/>
      </c>
    </row>
    <row r="189" spans="2:9" x14ac:dyDescent="0.25">
      <c r="B189" s="2">
        <f t="shared" si="6"/>
        <v>2026</v>
      </c>
      <c r="C189" s="2" t="str">
        <f t="shared" si="9"/>
        <v>January</v>
      </c>
      <c r="D189" s="2" t="str">
        <f t="shared" si="8"/>
        <v>Sunday</v>
      </c>
      <c r="E189" s="4">
        <v>46026</v>
      </c>
      <c r="H189" s="3" t="str">
        <f>IF(OR(Table1[[#This Row],[US Holiday]]&lt;&gt;"", Table1[[#This Row],[India Holiday]]&lt;&gt;""), "Yes", "No")</f>
        <v>No</v>
      </c>
      <c r="I189" s="2" t="str">
        <f>IF(
  AND(
    WORKDAY(E189-1,1)=E189,
    _xlfn.CONCAT(F189:G189)=""
  ),
  _xlfn.MAXIFS(I$2:I188,C$2:C188,C189,B$2:B188,B189)+1,
  ""
)</f>
        <v/>
      </c>
    </row>
    <row r="190" spans="2:9" x14ac:dyDescent="0.25">
      <c r="B190" s="2">
        <f t="shared" si="6"/>
        <v>2026</v>
      </c>
      <c r="C190" s="2" t="str">
        <f t="shared" si="9"/>
        <v>January</v>
      </c>
      <c r="D190" s="2" t="str">
        <f t="shared" si="8"/>
        <v>Monday</v>
      </c>
      <c r="E190" s="4">
        <v>46027</v>
      </c>
      <c r="H190" s="3" t="str">
        <f>IF(OR(Table1[[#This Row],[US Holiday]]&lt;&gt;"", Table1[[#This Row],[India Holiday]]&lt;&gt;""), "Yes", "No")</f>
        <v>No</v>
      </c>
      <c r="I190" s="2">
        <f>IF(
  AND(
    WORKDAY(E190-1,1)=E190,
    _xlfn.CONCAT(F190:G190)=""
  ),
  _xlfn.MAXIFS(I$2:I189,C$2:C189,C190,B$2:B189,B190)+1,
  ""
)</f>
        <v>3</v>
      </c>
    </row>
    <row r="191" spans="2:9" x14ac:dyDescent="0.25">
      <c r="B191" s="2">
        <f t="shared" si="6"/>
        <v>2026</v>
      </c>
      <c r="C191" s="2" t="str">
        <f t="shared" si="9"/>
        <v>January</v>
      </c>
      <c r="D191" s="2" t="str">
        <f t="shared" si="8"/>
        <v>Tuesday</v>
      </c>
      <c r="E191" s="4">
        <v>46028</v>
      </c>
      <c r="H191" s="3" t="str">
        <f>IF(OR(Table1[[#This Row],[US Holiday]]&lt;&gt;"", Table1[[#This Row],[India Holiday]]&lt;&gt;""), "Yes", "No")</f>
        <v>No</v>
      </c>
      <c r="I191" s="2">
        <f>IF(
  AND(
    WORKDAY(E191-1,1)=E191,
    _xlfn.CONCAT(F191:G191)=""
  ),
  _xlfn.MAXIFS(I$2:I190,C$2:C190,C191,B$2:B190,B191)+1,
  ""
)</f>
        <v>4</v>
      </c>
    </row>
    <row r="192" spans="2:9" x14ac:dyDescent="0.25">
      <c r="B192" s="2">
        <f t="shared" si="6"/>
        <v>2026</v>
      </c>
      <c r="C192" s="2" t="str">
        <f t="shared" si="9"/>
        <v>January</v>
      </c>
      <c r="D192" s="2" t="str">
        <f t="shared" si="8"/>
        <v>Wednesday</v>
      </c>
      <c r="E192" s="4">
        <v>46029</v>
      </c>
      <c r="H192" s="3" t="str">
        <f>IF(OR(Table1[[#This Row],[US Holiday]]&lt;&gt;"", Table1[[#This Row],[India Holiday]]&lt;&gt;""), "Yes", "No")</f>
        <v>No</v>
      </c>
      <c r="I192" s="2">
        <f>IF(
  AND(
    WORKDAY(E192-1,1)=E192,
    _xlfn.CONCAT(F192:G192)=""
  ),
  _xlfn.MAXIFS(I$2:I191,C$2:C191,C192,B$2:B191,B192)+1,
  ""
)</f>
        <v>5</v>
      </c>
    </row>
    <row r="193" spans="2:9" x14ac:dyDescent="0.25">
      <c r="B193" s="2">
        <f t="shared" si="6"/>
        <v>2026</v>
      </c>
      <c r="C193" s="2" t="str">
        <f t="shared" ref="C193:C256" si="10">TEXT(E193,"mmmm")</f>
        <v>January</v>
      </c>
      <c r="D193" s="2" t="str">
        <f t="shared" si="8"/>
        <v>Thursday</v>
      </c>
      <c r="E193" s="4">
        <v>46030</v>
      </c>
      <c r="H193" s="3" t="str">
        <f>IF(OR(Table1[[#This Row],[US Holiday]]&lt;&gt;"", Table1[[#This Row],[India Holiday]]&lt;&gt;""), "Yes", "No")</f>
        <v>No</v>
      </c>
      <c r="I193" s="2">
        <f>IF(
  AND(
    WORKDAY(E193-1,1)=E193,
    _xlfn.CONCAT(F193:G193)=""
  ),
  _xlfn.MAXIFS(I$2:I192,C$2:C192,C193,B$2:B192,B193)+1,
  ""
)</f>
        <v>6</v>
      </c>
    </row>
    <row r="194" spans="2:9" x14ac:dyDescent="0.25">
      <c r="B194" s="2">
        <f t="shared" si="6"/>
        <v>2026</v>
      </c>
      <c r="C194" s="2" t="str">
        <f t="shared" si="10"/>
        <v>January</v>
      </c>
      <c r="D194" s="2" t="str">
        <f t="shared" si="8"/>
        <v>Friday</v>
      </c>
      <c r="E194" s="4">
        <v>46031</v>
      </c>
      <c r="H194" s="3" t="str">
        <f>IF(OR(Table1[[#This Row],[US Holiday]]&lt;&gt;"", Table1[[#This Row],[India Holiday]]&lt;&gt;""), "Yes", "No")</f>
        <v>No</v>
      </c>
      <c r="I194" s="2">
        <f>IF(
  AND(
    WORKDAY(E194-1,1)=E194,
    _xlfn.CONCAT(F194:G194)=""
  ),
  _xlfn.MAXIFS(I$2:I193,C$2:C193,C194,B$2:B193,B194)+1,
  ""
)</f>
        <v>7</v>
      </c>
    </row>
    <row r="195" spans="2:9" x14ac:dyDescent="0.25">
      <c r="B195" s="2">
        <f t="shared" ref="B195:B258" si="11">YEAR(E195)</f>
        <v>2026</v>
      </c>
      <c r="C195" s="2" t="str">
        <f t="shared" si="10"/>
        <v>January</v>
      </c>
      <c r="D195" s="2" t="str">
        <f t="shared" ref="D195:D258" si="12">TEXT(E195,"dddd")</f>
        <v>Saturday</v>
      </c>
      <c r="E195" s="4">
        <v>46032</v>
      </c>
      <c r="H195" s="3" t="str">
        <f>IF(OR(Table1[[#This Row],[US Holiday]]&lt;&gt;"", Table1[[#This Row],[India Holiday]]&lt;&gt;""), "Yes", "No")</f>
        <v>No</v>
      </c>
      <c r="I195" s="2" t="str">
        <f>IF(
  AND(
    WORKDAY(E195-1,1)=E195,
    _xlfn.CONCAT(F195:G195)=""
  ),
  _xlfn.MAXIFS(I$2:I194,C$2:C194,C195,B$2:B194,B195)+1,
  ""
)</f>
        <v/>
      </c>
    </row>
    <row r="196" spans="2:9" x14ac:dyDescent="0.25">
      <c r="B196" s="2">
        <f t="shared" si="11"/>
        <v>2026</v>
      </c>
      <c r="C196" s="2" t="str">
        <f t="shared" si="10"/>
        <v>January</v>
      </c>
      <c r="D196" s="2" t="str">
        <f t="shared" si="12"/>
        <v>Sunday</v>
      </c>
      <c r="E196" s="4">
        <v>46033</v>
      </c>
      <c r="H196" s="3" t="str">
        <f>IF(OR(Table1[[#This Row],[US Holiday]]&lt;&gt;"", Table1[[#This Row],[India Holiday]]&lt;&gt;""), "Yes", "No")</f>
        <v>No</v>
      </c>
      <c r="I196" s="2" t="str">
        <f>IF(
  AND(
    WORKDAY(E196-1,1)=E196,
    _xlfn.CONCAT(F196:G196)=""
  ),
  _xlfn.MAXIFS(I$2:I195,C$2:C195,C196,B$2:B195,B196)+1,
  ""
)</f>
        <v/>
      </c>
    </row>
    <row r="197" spans="2:9" x14ac:dyDescent="0.25">
      <c r="B197" s="2">
        <f t="shared" si="11"/>
        <v>2026</v>
      </c>
      <c r="C197" s="2" t="str">
        <f t="shared" si="10"/>
        <v>January</v>
      </c>
      <c r="D197" s="2" t="str">
        <f t="shared" si="12"/>
        <v>Monday</v>
      </c>
      <c r="E197" s="4">
        <v>46034</v>
      </c>
      <c r="H197" s="3" t="str">
        <f>IF(OR(Table1[[#This Row],[US Holiday]]&lt;&gt;"", Table1[[#This Row],[India Holiday]]&lt;&gt;""), "Yes", "No")</f>
        <v>No</v>
      </c>
      <c r="I197" s="2">
        <f>IF(
  AND(
    WORKDAY(E197-1,1)=E197,
    _xlfn.CONCAT(F197:G197)=""
  ),
  _xlfn.MAXIFS(I$2:I196,C$2:C196,C197,B$2:B196,B197)+1,
  ""
)</f>
        <v>8</v>
      </c>
    </row>
    <row r="198" spans="2:9" x14ac:dyDescent="0.25">
      <c r="B198" s="2">
        <f t="shared" si="11"/>
        <v>2026</v>
      </c>
      <c r="C198" s="2" t="str">
        <f t="shared" si="10"/>
        <v>January</v>
      </c>
      <c r="D198" s="2" t="str">
        <f t="shared" si="12"/>
        <v>Tuesday</v>
      </c>
      <c r="E198" s="4">
        <v>46035</v>
      </c>
      <c r="H198" s="3" t="str">
        <f>IF(OR(Table1[[#This Row],[US Holiday]]&lt;&gt;"", Table1[[#This Row],[India Holiday]]&lt;&gt;""), "Yes", "No")</f>
        <v>No</v>
      </c>
      <c r="I198" s="2">
        <f>IF(
  AND(
    WORKDAY(E198-1,1)=E198,
    _xlfn.CONCAT(F198:G198)=""
  ),
  _xlfn.MAXIFS(I$2:I197,C$2:C197,C198,B$2:B197,B198)+1,
  ""
)</f>
        <v>9</v>
      </c>
    </row>
    <row r="199" spans="2:9" x14ac:dyDescent="0.25">
      <c r="B199" s="2">
        <f t="shared" si="11"/>
        <v>2026</v>
      </c>
      <c r="C199" s="2" t="str">
        <f t="shared" si="10"/>
        <v>January</v>
      </c>
      <c r="D199" s="2" t="str">
        <f t="shared" si="12"/>
        <v>Wednesday</v>
      </c>
      <c r="E199" s="4">
        <v>46036</v>
      </c>
      <c r="H199" s="3" t="str">
        <f>IF(OR(Table1[[#This Row],[US Holiday]]&lt;&gt;"", Table1[[#This Row],[India Holiday]]&lt;&gt;""), "Yes", "No")</f>
        <v>No</v>
      </c>
      <c r="I199" s="2">
        <f>IF(
  AND(
    WORKDAY(E199-1,1)=E199,
    _xlfn.CONCAT(F199:G199)=""
  ),
  _xlfn.MAXIFS(I$2:I198,C$2:C198,C199,B$2:B198,B199)+1,
  ""
)</f>
        <v>10</v>
      </c>
    </row>
    <row r="200" spans="2:9" x14ac:dyDescent="0.25">
      <c r="B200" s="2">
        <f t="shared" si="11"/>
        <v>2026</v>
      </c>
      <c r="C200" s="2" t="str">
        <f t="shared" si="10"/>
        <v>January</v>
      </c>
      <c r="D200" s="2" t="str">
        <f t="shared" si="12"/>
        <v>Thursday</v>
      </c>
      <c r="E200" s="4">
        <v>46037</v>
      </c>
      <c r="H200" s="3" t="str">
        <f>IF(OR(Table1[[#This Row],[US Holiday]]&lt;&gt;"", Table1[[#This Row],[India Holiday]]&lt;&gt;""), "Yes", "No")</f>
        <v>No</v>
      </c>
      <c r="I200" s="2">
        <f>IF(
  AND(
    WORKDAY(E200-1,1)=E200,
    _xlfn.CONCAT(F200:G200)=""
  ),
  _xlfn.MAXIFS(I$2:I199,C$2:C199,C200,B$2:B199,B200)+1,
  ""
)</f>
        <v>11</v>
      </c>
    </row>
    <row r="201" spans="2:9" x14ac:dyDescent="0.25">
      <c r="B201" s="2">
        <f t="shared" si="11"/>
        <v>2026</v>
      </c>
      <c r="C201" s="2" t="str">
        <f t="shared" si="10"/>
        <v>January</v>
      </c>
      <c r="D201" s="2" t="str">
        <f t="shared" si="12"/>
        <v>Friday</v>
      </c>
      <c r="E201" s="4">
        <v>46038</v>
      </c>
      <c r="H201" s="3" t="str">
        <f>IF(OR(Table1[[#This Row],[US Holiday]]&lt;&gt;"", Table1[[#This Row],[India Holiday]]&lt;&gt;""), "Yes", "No")</f>
        <v>No</v>
      </c>
      <c r="I201" s="2">
        <f>IF(
  AND(
    WORKDAY(E201-1,1)=E201,
    _xlfn.CONCAT(F201:G201)=""
  ),
  _xlfn.MAXIFS(I$2:I200,C$2:C200,C201,B$2:B200,B201)+1,
  ""
)</f>
        <v>12</v>
      </c>
    </row>
    <row r="202" spans="2:9" x14ac:dyDescent="0.25">
      <c r="B202" s="2">
        <f t="shared" si="11"/>
        <v>2026</v>
      </c>
      <c r="C202" s="2" t="str">
        <f t="shared" si="10"/>
        <v>January</v>
      </c>
      <c r="D202" s="2" t="str">
        <f t="shared" si="12"/>
        <v>Saturday</v>
      </c>
      <c r="E202" s="4">
        <v>46039</v>
      </c>
      <c r="H202" s="3" t="str">
        <f>IF(OR(Table1[[#This Row],[US Holiday]]&lt;&gt;"", Table1[[#This Row],[India Holiday]]&lt;&gt;""), "Yes", "No")</f>
        <v>No</v>
      </c>
      <c r="I202" s="2" t="str">
        <f>IF(
  AND(
    WORKDAY(E202-1,1)=E202,
    _xlfn.CONCAT(F202:G202)=""
  ),
  _xlfn.MAXIFS(I$2:I201,C$2:C201,C202,B$2:B201,B202)+1,
  ""
)</f>
        <v/>
      </c>
    </row>
    <row r="203" spans="2:9" x14ac:dyDescent="0.25">
      <c r="B203" s="2">
        <f t="shared" si="11"/>
        <v>2026</v>
      </c>
      <c r="C203" s="2" t="str">
        <f t="shared" si="10"/>
        <v>January</v>
      </c>
      <c r="D203" s="2" t="str">
        <f t="shared" si="12"/>
        <v>Sunday</v>
      </c>
      <c r="E203" s="4">
        <v>46040</v>
      </c>
      <c r="H203" s="3" t="str">
        <f>IF(OR(Table1[[#This Row],[US Holiday]]&lt;&gt;"", Table1[[#This Row],[India Holiday]]&lt;&gt;""), "Yes", "No")</f>
        <v>No</v>
      </c>
      <c r="I203" s="2" t="str">
        <f>IF(
  AND(
    WORKDAY(E203-1,1)=E203,
    _xlfn.CONCAT(F203:G203)=""
  ),
  _xlfn.MAXIFS(I$2:I202,C$2:C202,C203,B$2:B202,B203)+1,
  ""
)</f>
        <v/>
      </c>
    </row>
    <row r="204" spans="2:9" x14ac:dyDescent="0.25">
      <c r="B204" s="2">
        <f t="shared" si="11"/>
        <v>2026</v>
      </c>
      <c r="C204" s="2" t="str">
        <f t="shared" si="10"/>
        <v>January</v>
      </c>
      <c r="D204" s="2" t="str">
        <f t="shared" si="12"/>
        <v>Monday</v>
      </c>
      <c r="E204" s="4">
        <v>46041</v>
      </c>
      <c r="H204" s="3" t="str">
        <f>IF(OR(Table1[[#This Row],[US Holiday]]&lt;&gt;"", Table1[[#This Row],[India Holiday]]&lt;&gt;""), "Yes", "No")</f>
        <v>No</v>
      </c>
      <c r="I204" s="2">
        <f>IF(
  AND(
    WORKDAY(E204-1,1)=E204,
    _xlfn.CONCAT(F204:G204)=""
  ),
  _xlfn.MAXIFS(I$2:I203,C$2:C203,C204,B$2:B203,B204)+1,
  ""
)</f>
        <v>13</v>
      </c>
    </row>
    <row r="205" spans="2:9" x14ac:dyDescent="0.25">
      <c r="B205" s="2">
        <f t="shared" si="11"/>
        <v>2026</v>
      </c>
      <c r="C205" s="2" t="str">
        <f t="shared" si="10"/>
        <v>January</v>
      </c>
      <c r="D205" s="2" t="str">
        <f t="shared" si="12"/>
        <v>Tuesday</v>
      </c>
      <c r="E205" s="4">
        <v>46042</v>
      </c>
      <c r="H205" s="3" t="str">
        <f>IF(OR(Table1[[#This Row],[US Holiday]]&lt;&gt;"", Table1[[#This Row],[India Holiday]]&lt;&gt;""), "Yes", "No")</f>
        <v>No</v>
      </c>
      <c r="I205" s="2">
        <f>IF(
  AND(
    WORKDAY(E205-1,1)=E205,
    _xlfn.CONCAT(F205:G205)=""
  ),
  _xlfn.MAXIFS(I$2:I204,C$2:C204,C205,B$2:B204,B205)+1,
  ""
)</f>
        <v>14</v>
      </c>
    </row>
    <row r="206" spans="2:9" x14ac:dyDescent="0.25">
      <c r="B206" s="2">
        <f t="shared" si="11"/>
        <v>2026</v>
      </c>
      <c r="C206" s="2" t="str">
        <f t="shared" si="10"/>
        <v>January</v>
      </c>
      <c r="D206" s="2" t="str">
        <f t="shared" si="12"/>
        <v>Wednesday</v>
      </c>
      <c r="E206" s="4">
        <v>46043</v>
      </c>
      <c r="H206" s="3" t="str">
        <f>IF(OR(Table1[[#This Row],[US Holiday]]&lt;&gt;"", Table1[[#This Row],[India Holiday]]&lt;&gt;""), "Yes", "No")</f>
        <v>No</v>
      </c>
      <c r="I206" s="2">
        <f>IF(
  AND(
    WORKDAY(E206-1,1)=E206,
    _xlfn.CONCAT(F206:G206)=""
  ),
  _xlfn.MAXIFS(I$2:I205,C$2:C205,C206,B$2:B205,B206)+1,
  ""
)</f>
        <v>15</v>
      </c>
    </row>
    <row r="207" spans="2:9" x14ac:dyDescent="0.25">
      <c r="B207" s="2">
        <f t="shared" si="11"/>
        <v>2026</v>
      </c>
      <c r="C207" s="2" t="str">
        <f t="shared" si="10"/>
        <v>January</v>
      </c>
      <c r="D207" s="2" t="str">
        <f t="shared" si="12"/>
        <v>Thursday</v>
      </c>
      <c r="E207" s="4">
        <v>46044</v>
      </c>
      <c r="H207" s="3" t="str">
        <f>IF(OR(Table1[[#This Row],[US Holiday]]&lt;&gt;"", Table1[[#This Row],[India Holiday]]&lt;&gt;""), "Yes", "No")</f>
        <v>No</v>
      </c>
      <c r="I207" s="2">
        <f>IF(
  AND(
    WORKDAY(E207-1,1)=E207,
    _xlfn.CONCAT(F207:G207)=""
  ),
  _xlfn.MAXIFS(I$2:I206,C$2:C206,C207,B$2:B206,B207)+1,
  ""
)</f>
        <v>16</v>
      </c>
    </row>
    <row r="208" spans="2:9" x14ac:dyDescent="0.25">
      <c r="B208" s="2">
        <f t="shared" si="11"/>
        <v>2026</v>
      </c>
      <c r="C208" s="2" t="str">
        <f t="shared" si="10"/>
        <v>January</v>
      </c>
      <c r="D208" s="2" t="str">
        <f t="shared" si="12"/>
        <v>Friday</v>
      </c>
      <c r="E208" s="4">
        <v>46045</v>
      </c>
      <c r="H208" s="3" t="str">
        <f>IF(OR(Table1[[#This Row],[US Holiday]]&lt;&gt;"", Table1[[#This Row],[India Holiday]]&lt;&gt;""), "Yes", "No")</f>
        <v>No</v>
      </c>
      <c r="I208" s="2">
        <f>IF(
  AND(
    WORKDAY(E208-1,1)=E208,
    _xlfn.CONCAT(F208:G208)=""
  ),
  _xlfn.MAXIFS(I$2:I207,C$2:C207,C208,B$2:B207,B208)+1,
  ""
)</f>
        <v>17</v>
      </c>
    </row>
    <row r="209" spans="2:9" x14ac:dyDescent="0.25">
      <c r="B209" s="2">
        <f t="shared" si="11"/>
        <v>2026</v>
      </c>
      <c r="C209" s="2" t="str">
        <f t="shared" si="10"/>
        <v>January</v>
      </c>
      <c r="D209" s="2" t="str">
        <f t="shared" si="12"/>
        <v>Saturday</v>
      </c>
      <c r="E209" s="4">
        <v>46046</v>
      </c>
      <c r="H209" s="3" t="str">
        <f>IF(OR(Table1[[#This Row],[US Holiday]]&lt;&gt;"", Table1[[#This Row],[India Holiday]]&lt;&gt;""), "Yes", "No")</f>
        <v>No</v>
      </c>
      <c r="I209" s="2" t="str">
        <f>IF(
  AND(
    WORKDAY(E209-1,1)=E209,
    _xlfn.CONCAT(F209:G209)=""
  ),
  _xlfn.MAXIFS(I$2:I208,C$2:C208,C209,B$2:B208,B209)+1,
  ""
)</f>
        <v/>
      </c>
    </row>
    <row r="210" spans="2:9" x14ac:dyDescent="0.25">
      <c r="B210" s="2">
        <f t="shared" si="11"/>
        <v>2026</v>
      </c>
      <c r="C210" s="2" t="str">
        <f t="shared" si="10"/>
        <v>January</v>
      </c>
      <c r="D210" s="2" t="str">
        <f t="shared" si="12"/>
        <v>Sunday</v>
      </c>
      <c r="E210" s="4">
        <v>46047</v>
      </c>
      <c r="H210" s="3" t="str">
        <f>IF(OR(Table1[[#This Row],[US Holiday]]&lt;&gt;"", Table1[[#This Row],[India Holiday]]&lt;&gt;""), "Yes", "No")</f>
        <v>No</v>
      </c>
      <c r="I210" s="2" t="str">
        <f>IF(
  AND(
    WORKDAY(E210-1,1)=E210,
    _xlfn.CONCAT(F210:G210)=""
  ),
  _xlfn.MAXIFS(I$2:I209,C$2:C209,C210,B$2:B209,B210)+1,
  ""
)</f>
        <v/>
      </c>
    </row>
    <row r="211" spans="2:9" x14ac:dyDescent="0.25">
      <c r="B211" s="2">
        <f t="shared" si="11"/>
        <v>2026</v>
      </c>
      <c r="C211" s="2" t="str">
        <f t="shared" si="10"/>
        <v>January</v>
      </c>
      <c r="D211" s="2" t="str">
        <f t="shared" si="12"/>
        <v>Monday</v>
      </c>
      <c r="E211" s="4">
        <v>46048</v>
      </c>
      <c r="H211" s="3" t="str">
        <f>IF(OR(Table1[[#This Row],[US Holiday]]&lt;&gt;"", Table1[[#This Row],[India Holiday]]&lt;&gt;""), "Yes", "No")</f>
        <v>No</v>
      </c>
      <c r="I211" s="2">
        <f>IF(
  AND(
    WORKDAY(E211-1,1)=E211,
    _xlfn.CONCAT(F211:G211)=""
  ),
  _xlfn.MAXIFS(I$2:I210,C$2:C210,C211,B$2:B210,B211)+1,
  ""
)</f>
        <v>18</v>
      </c>
    </row>
    <row r="212" spans="2:9" x14ac:dyDescent="0.25">
      <c r="B212" s="2">
        <f t="shared" si="11"/>
        <v>2026</v>
      </c>
      <c r="C212" s="2" t="str">
        <f t="shared" si="10"/>
        <v>January</v>
      </c>
      <c r="D212" s="2" t="str">
        <f t="shared" si="12"/>
        <v>Tuesday</v>
      </c>
      <c r="E212" s="4">
        <v>46049</v>
      </c>
      <c r="H212" s="3" t="str">
        <f>IF(OR(Table1[[#This Row],[US Holiday]]&lt;&gt;"", Table1[[#This Row],[India Holiday]]&lt;&gt;""), "Yes", "No")</f>
        <v>No</v>
      </c>
      <c r="I212" s="2">
        <f>IF(
  AND(
    WORKDAY(E212-1,1)=E212,
    _xlfn.CONCAT(F212:G212)=""
  ),
  _xlfn.MAXIFS(I$2:I211,C$2:C211,C212,B$2:B211,B212)+1,
  ""
)</f>
        <v>19</v>
      </c>
    </row>
    <row r="213" spans="2:9" x14ac:dyDescent="0.25">
      <c r="B213" s="2">
        <f t="shared" si="11"/>
        <v>2026</v>
      </c>
      <c r="C213" s="2" t="str">
        <f t="shared" si="10"/>
        <v>January</v>
      </c>
      <c r="D213" s="2" t="str">
        <f t="shared" si="12"/>
        <v>Wednesday</v>
      </c>
      <c r="E213" s="4">
        <v>46050</v>
      </c>
      <c r="H213" s="3" t="str">
        <f>IF(OR(Table1[[#This Row],[US Holiday]]&lt;&gt;"", Table1[[#This Row],[India Holiday]]&lt;&gt;""), "Yes", "No")</f>
        <v>No</v>
      </c>
      <c r="I213" s="2">
        <f>IF(
  AND(
    WORKDAY(E213-1,1)=E213,
    _xlfn.CONCAT(F213:G213)=""
  ),
  _xlfn.MAXIFS(I$2:I212,C$2:C212,C213,B$2:B212,B213)+1,
  ""
)</f>
        <v>20</v>
      </c>
    </row>
    <row r="214" spans="2:9" x14ac:dyDescent="0.25">
      <c r="B214" s="2">
        <f t="shared" si="11"/>
        <v>2026</v>
      </c>
      <c r="C214" s="2" t="str">
        <f t="shared" si="10"/>
        <v>January</v>
      </c>
      <c r="D214" s="2" t="str">
        <f t="shared" si="12"/>
        <v>Thursday</v>
      </c>
      <c r="E214" s="4">
        <v>46051</v>
      </c>
      <c r="H214" s="3" t="str">
        <f>IF(OR(Table1[[#This Row],[US Holiday]]&lt;&gt;"", Table1[[#This Row],[India Holiday]]&lt;&gt;""), "Yes", "No")</f>
        <v>No</v>
      </c>
      <c r="I214" s="2">
        <f>IF(
  AND(
    WORKDAY(E214-1,1)=E214,
    _xlfn.CONCAT(F214:G214)=""
  ),
  _xlfn.MAXIFS(I$2:I213,C$2:C213,C214,B$2:B213,B214)+1,
  ""
)</f>
        <v>21</v>
      </c>
    </row>
    <row r="215" spans="2:9" x14ac:dyDescent="0.25">
      <c r="B215" s="2">
        <f t="shared" si="11"/>
        <v>2026</v>
      </c>
      <c r="C215" s="2" t="str">
        <f t="shared" si="10"/>
        <v>January</v>
      </c>
      <c r="D215" s="2" t="str">
        <f t="shared" si="12"/>
        <v>Friday</v>
      </c>
      <c r="E215" s="4">
        <v>46052</v>
      </c>
      <c r="H215" s="3" t="str">
        <f>IF(OR(Table1[[#This Row],[US Holiday]]&lt;&gt;"", Table1[[#This Row],[India Holiday]]&lt;&gt;""), "Yes", "No")</f>
        <v>No</v>
      </c>
      <c r="I215" s="2">
        <f>IF(
  AND(
    WORKDAY(E215-1,1)=E215,
    _xlfn.CONCAT(F215:G215)=""
  ),
  _xlfn.MAXIFS(I$2:I214,C$2:C214,C215,B$2:B214,B215)+1,
  ""
)</f>
        <v>22</v>
      </c>
    </row>
    <row r="216" spans="2:9" x14ac:dyDescent="0.25">
      <c r="B216" s="2">
        <f t="shared" si="11"/>
        <v>2026</v>
      </c>
      <c r="C216" s="2" t="str">
        <f t="shared" si="10"/>
        <v>January</v>
      </c>
      <c r="D216" s="2" t="str">
        <f t="shared" si="12"/>
        <v>Saturday</v>
      </c>
      <c r="E216" s="4">
        <v>46053</v>
      </c>
      <c r="H216" s="3" t="str">
        <f>IF(OR(Table1[[#This Row],[US Holiday]]&lt;&gt;"", Table1[[#This Row],[India Holiday]]&lt;&gt;""), "Yes", "No")</f>
        <v>No</v>
      </c>
      <c r="I216" s="2" t="str">
        <f>IF(
  AND(
    WORKDAY(E216-1,1)=E216,
    _xlfn.CONCAT(F216:G216)=""
  ),
  _xlfn.MAXIFS(I$2:I215,C$2:C215,C216,B$2:B215,B216)+1,
  ""
)</f>
        <v/>
      </c>
    </row>
    <row r="217" spans="2:9" x14ac:dyDescent="0.25">
      <c r="B217" s="2">
        <f t="shared" si="11"/>
        <v>2026</v>
      </c>
      <c r="C217" s="2" t="str">
        <f t="shared" si="10"/>
        <v>February</v>
      </c>
      <c r="D217" s="2" t="str">
        <f t="shared" si="12"/>
        <v>Sunday</v>
      </c>
      <c r="E217" s="4">
        <v>46054</v>
      </c>
      <c r="H217" s="3" t="str">
        <f>IF(OR(Table1[[#This Row],[US Holiday]]&lt;&gt;"", Table1[[#This Row],[India Holiday]]&lt;&gt;""), "Yes", "No")</f>
        <v>No</v>
      </c>
      <c r="I217" s="2" t="str">
        <f>IF(
  AND(
    WORKDAY(E217-1,1)=E217,
    _xlfn.CONCAT(F217:G217)=""
  ),
  _xlfn.MAXIFS(I$2:I216,C$2:C216,C217,B$2:B216,B217)+1,
  ""
)</f>
        <v/>
      </c>
    </row>
    <row r="218" spans="2:9" x14ac:dyDescent="0.25">
      <c r="B218" s="2">
        <f t="shared" si="11"/>
        <v>2026</v>
      </c>
      <c r="C218" s="2" t="str">
        <f t="shared" si="10"/>
        <v>February</v>
      </c>
      <c r="D218" s="2" t="str">
        <f t="shared" si="12"/>
        <v>Monday</v>
      </c>
      <c r="E218" s="4">
        <v>46055</v>
      </c>
      <c r="H218" s="3" t="str">
        <f>IF(OR(Table1[[#This Row],[US Holiday]]&lt;&gt;"", Table1[[#This Row],[India Holiday]]&lt;&gt;""), "Yes", "No")</f>
        <v>No</v>
      </c>
      <c r="I218" s="2">
        <f>IF(
  AND(
    WORKDAY(E218-1,1)=E218,
    _xlfn.CONCAT(F218:G218)=""
  ),
  _xlfn.MAXIFS(I$2:I217,C$2:C217,C218,B$2:B217,B218)+1,
  ""
)</f>
        <v>1</v>
      </c>
    </row>
    <row r="219" spans="2:9" x14ac:dyDescent="0.25">
      <c r="B219" s="2">
        <f t="shared" si="11"/>
        <v>2026</v>
      </c>
      <c r="C219" s="2" t="str">
        <f t="shared" si="10"/>
        <v>February</v>
      </c>
      <c r="D219" s="2" t="str">
        <f t="shared" si="12"/>
        <v>Tuesday</v>
      </c>
      <c r="E219" s="4">
        <v>46056</v>
      </c>
      <c r="H219" s="3" t="str">
        <f>IF(OR(Table1[[#This Row],[US Holiday]]&lt;&gt;"", Table1[[#This Row],[India Holiday]]&lt;&gt;""), "Yes", "No")</f>
        <v>No</v>
      </c>
      <c r="I219" s="2">
        <f>IF(
  AND(
    WORKDAY(E219-1,1)=E219,
    _xlfn.CONCAT(F219:G219)=""
  ),
  _xlfn.MAXIFS(I$2:I218,C$2:C218,C219,B$2:B218,B219)+1,
  ""
)</f>
        <v>2</v>
      </c>
    </row>
    <row r="220" spans="2:9" x14ac:dyDescent="0.25">
      <c r="B220" s="2">
        <f t="shared" si="11"/>
        <v>2026</v>
      </c>
      <c r="C220" s="2" t="str">
        <f t="shared" si="10"/>
        <v>February</v>
      </c>
      <c r="D220" s="2" t="str">
        <f t="shared" si="12"/>
        <v>Wednesday</v>
      </c>
      <c r="E220" s="4">
        <v>46057</v>
      </c>
      <c r="H220" s="3" t="str">
        <f>IF(OR(Table1[[#This Row],[US Holiday]]&lt;&gt;"", Table1[[#This Row],[India Holiday]]&lt;&gt;""), "Yes", "No")</f>
        <v>No</v>
      </c>
      <c r="I220" s="2">
        <f>IF(
  AND(
    WORKDAY(E220-1,1)=E220,
    _xlfn.CONCAT(F220:G220)=""
  ),
  _xlfn.MAXIFS(I$2:I219,C$2:C219,C220,B$2:B219,B220)+1,
  ""
)</f>
        <v>3</v>
      </c>
    </row>
    <row r="221" spans="2:9" x14ac:dyDescent="0.25">
      <c r="B221" s="2">
        <f t="shared" si="11"/>
        <v>2026</v>
      </c>
      <c r="C221" s="2" t="str">
        <f t="shared" si="10"/>
        <v>February</v>
      </c>
      <c r="D221" s="2" t="str">
        <f t="shared" si="12"/>
        <v>Thursday</v>
      </c>
      <c r="E221" s="4">
        <v>46058</v>
      </c>
      <c r="H221" s="3" t="str">
        <f>IF(OR(Table1[[#This Row],[US Holiday]]&lt;&gt;"", Table1[[#This Row],[India Holiday]]&lt;&gt;""), "Yes", "No")</f>
        <v>No</v>
      </c>
      <c r="I221" s="2">
        <f>IF(
  AND(
    WORKDAY(E221-1,1)=E221,
    _xlfn.CONCAT(F221:G221)=""
  ),
  _xlfn.MAXIFS(I$2:I220,C$2:C220,C221,B$2:B220,B221)+1,
  ""
)</f>
        <v>4</v>
      </c>
    </row>
    <row r="222" spans="2:9" x14ac:dyDescent="0.25">
      <c r="B222" s="2">
        <f t="shared" si="11"/>
        <v>2026</v>
      </c>
      <c r="C222" s="2" t="str">
        <f t="shared" si="10"/>
        <v>February</v>
      </c>
      <c r="D222" s="2" t="str">
        <f t="shared" si="12"/>
        <v>Friday</v>
      </c>
      <c r="E222" s="4">
        <v>46059</v>
      </c>
      <c r="H222" s="3" t="str">
        <f>IF(OR(Table1[[#This Row],[US Holiday]]&lt;&gt;"", Table1[[#This Row],[India Holiday]]&lt;&gt;""), "Yes", "No")</f>
        <v>No</v>
      </c>
      <c r="I222" s="2">
        <f>IF(
  AND(
    WORKDAY(E222-1,1)=E222,
    _xlfn.CONCAT(F222:G222)=""
  ),
  _xlfn.MAXIFS(I$2:I221,C$2:C221,C222,B$2:B221,B222)+1,
  ""
)</f>
        <v>5</v>
      </c>
    </row>
    <row r="223" spans="2:9" x14ac:dyDescent="0.25">
      <c r="B223" s="2">
        <f t="shared" si="11"/>
        <v>2026</v>
      </c>
      <c r="C223" s="2" t="str">
        <f t="shared" si="10"/>
        <v>February</v>
      </c>
      <c r="D223" s="2" t="str">
        <f t="shared" si="12"/>
        <v>Saturday</v>
      </c>
      <c r="E223" s="4">
        <v>46060</v>
      </c>
      <c r="H223" s="3" t="str">
        <f>IF(OR(Table1[[#This Row],[US Holiday]]&lt;&gt;"", Table1[[#This Row],[India Holiday]]&lt;&gt;""), "Yes", "No")</f>
        <v>No</v>
      </c>
      <c r="I223" s="2" t="str">
        <f>IF(
  AND(
    WORKDAY(E223-1,1)=E223,
    _xlfn.CONCAT(F223:G223)=""
  ),
  _xlfn.MAXIFS(I$2:I222,C$2:C222,C223,B$2:B222,B223)+1,
  ""
)</f>
        <v/>
      </c>
    </row>
    <row r="224" spans="2:9" x14ac:dyDescent="0.25">
      <c r="B224" s="2">
        <f t="shared" si="11"/>
        <v>2026</v>
      </c>
      <c r="C224" s="2" t="str">
        <f t="shared" si="10"/>
        <v>February</v>
      </c>
      <c r="D224" s="2" t="str">
        <f t="shared" si="12"/>
        <v>Sunday</v>
      </c>
      <c r="E224" s="4">
        <v>46061</v>
      </c>
      <c r="H224" s="3" t="str">
        <f>IF(OR(Table1[[#This Row],[US Holiday]]&lt;&gt;"", Table1[[#This Row],[India Holiday]]&lt;&gt;""), "Yes", "No")</f>
        <v>No</v>
      </c>
      <c r="I224" s="2" t="str">
        <f>IF(
  AND(
    WORKDAY(E224-1,1)=E224,
    _xlfn.CONCAT(F224:G224)=""
  ),
  _xlfn.MAXIFS(I$2:I223,C$2:C223,C224,B$2:B223,B224)+1,
  ""
)</f>
        <v/>
      </c>
    </row>
    <row r="225" spans="2:9" x14ac:dyDescent="0.25">
      <c r="B225" s="2">
        <f t="shared" si="11"/>
        <v>2026</v>
      </c>
      <c r="C225" s="2" t="str">
        <f t="shared" si="10"/>
        <v>February</v>
      </c>
      <c r="D225" s="2" t="str">
        <f t="shared" si="12"/>
        <v>Monday</v>
      </c>
      <c r="E225" s="4">
        <v>46062</v>
      </c>
      <c r="H225" s="3" t="str">
        <f>IF(OR(Table1[[#This Row],[US Holiday]]&lt;&gt;"", Table1[[#This Row],[India Holiday]]&lt;&gt;""), "Yes", "No")</f>
        <v>No</v>
      </c>
      <c r="I225" s="2">
        <f>IF(
  AND(
    WORKDAY(E225-1,1)=E225,
    _xlfn.CONCAT(F225:G225)=""
  ),
  _xlfn.MAXIFS(I$2:I224,C$2:C224,C225,B$2:B224,B225)+1,
  ""
)</f>
        <v>6</v>
      </c>
    </row>
    <row r="226" spans="2:9" x14ac:dyDescent="0.25">
      <c r="B226" s="2">
        <f t="shared" si="11"/>
        <v>2026</v>
      </c>
      <c r="C226" s="2" t="str">
        <f t="shared" si="10"/>
        <v>February</v>
      </c>
      <c r="D226" s="2" t="str">
        <f t="shared" si="12"/>
        <v>Tuesday</v>
      </c>
      <c r="E226" s="4">
        <v>46063</v>
      </c>
      <c r="H226" s="3" t="str">
        <f>IF(OR(Table1[[#This Row],[US Holiday]]&lt;&gt;"", Table1[[#This Row],[India Holiday]]&lt;&gt;""), "Yes", "No")</f>
        <v>No</v>
      </c>
      <c r="I226" s="2">
        <f>IF(
  AND(
    WORKDAY(E226-1,1)=E226,
    _xlfn.CONCAT(F226:G226)=""
  ),
  _xlfn.MAXIFS(I$2:I225,C$2:C225,C226,B$2:B225,B226)+1,
  ""
)</f>
        <v>7</v>
      </c>
    </row>
    <row r="227" spans="2:9" x14ac:dyDescent="0.25">
      <c r="B227" s="2">
        <f t="shared" si="11"/>
        <v>2026</v>
      </c>
      <c r="C227" s="2" t="str">
        <f t="shared" si="10"/>
        <v>February</v>
      </c>
      <c r="D227" s="2" t="str">
        <f t="shared" si="12"/>
        <v>Wednesday</v>
      </c>
      <c r="E227" s="4">
        <v>46064</v>
      </c>
      <c r="H227" s="3" t="str">
        <f>IF(OR(Table1[[#This Row],[US Holiday]]&lt;&gt;"", Table1[[#This Row],[India Holiday]]&lt;&gt;""), "Yes", "No")</f>
        <v>No</v>
      </c>
      <c r="I227" s="2">
        <f>IF(
  AND(
    WORKDAY(E227-1,1)=E227,
    _xlfn.CONCAT(F227:G227)=""
  ),
  _xlfn.MAXIFS(I$2:I226,C$2:C226,C227,B$2:B226,B227)+1,
  ""
)</f>
        <v>8</v>
      </c>
    </row>
    <row r="228" spans="2:9" x14ac:dyDescent="0.25">
      <c r="B228" s="2">
        <f t="shared" si="11"/>
        <v>2026</v>
      </c>
      <c r="C228" s="2" t="str">
        <f t="shared" si="10"/>
        <v>February</v>
      </c>
      <c r="D228" s="2" t="str">
        <f t="shared" si="12"/>
        <v>Thursday</v>
      </c>
      <c r="E228" s="4">
        <v>46065</v>
      </c>
      <c r="H228" s="3" t="str">
        <f>IF(OR(Table1[[#This Row],[US Holiday]]&lt;&gt;"", Table1[[#This Row],[India Holiday]]&lt;&gt;""), "Yes", "No")</f>
        <v>No</v>
      </c>
      <c r="I228" s="2">
        <f>IF(
  AND(
    WORKDAY(E228-1,1)=E228,
    _xlfn.CONCAT(F228:G228)=""
  ),
  _xlfn.MAXIFS(I$2:I227,C$2:C227,C228,B$2:B227,B228)+1,
  ""
)</f>
        <v>9</v>
      </c>
    </row>
    <row r="229" spans="2:9" x14ac:dyDescent="0.25">
      <c r="B229" s="2">
        <f t="shared" si="11"/>
        <v>2026</v>
      </c>
      <c r="C229" s="2" t="str">
        <f t="shared" si="10"/>
        <v>February</v>
      </c>
      <c r="D229" s="2" t="str">
        <f t="shared" si="12"/>
        <v>Friday</v>
      </c>
      <c r="E229" s="4">
        <v>46066</v>
      </c>
      <c r="H229" s="3" t="str">
        <f>IF(OR(Table1[[#This Row],[US Holiday]]&lt;&gt;"", Table1[[#This Row],[India Holiday]]&lt;&gt;""), "Yes", "No")</f>
        <v>No</v>
      </c>
      <c r="I229" s="2">
        <f>IF(
  AND(
    WORKDAY(E229-1,1)=E229,
    _xlfn.CONCAT(F229:G229)=""
  ),
  _xlfn.MAXIFS(I$2:I228,C$2:C228,C229,B$2:B228,B229)+1,
  ""
)</f>
        <v>10</v>
      </c>
    </row>
    <row r="230" spans="2:9" x14ac:dyDescent="0.25">
      <c r="B230" s="2">
        <f t="shared" si="11"/>
        <v>2026</v>
      </c>
      <c r="C230" s="2" t="str">
        <f t="shared" si="10"/>
        <v>February</v>
      </c>
      <c r="D230" s="2" t="str">
        <f t="shared" si="12"/>
        <v>Saturday</v>
      </c>
      <c r="E230" s="4">
        <v>46067</v>
      </c>
      <c r="H230" s="3" t="str">
        <f>IF(OR(Table1[[#This Row],[US Holiday]]&lt;&gt;"", Table1[[#This Row],[India Holiday]]&lt;&gt;""), "Yes", "No")</f>
        <v>No</v>
      </c>
      <c r="I230" s="2" t="str">
        <f>IF(
  AND(
    WORKDAY(E230-1,1)=E230,
    _xlfn.CONCAT(F230:G230)=""
  ),
  _xlfn.MAXIFS(I$2:I229,C$2:C229,C230,B$2:B229,B230)+1,
  ""
)</f>
        <v/>
      </c>
    </row>
    <row r="231" spans="2:9" x14ac:dyDescent="0.25">
      <c r="B231" s="2">
        <f t="shared" si="11"/>
        <v>2026</v>
      </c>
      <c r="C231" s="2" t="str">
        <f t="shared" si="10"/>
        <v>February</v>
      </c>
      <c r="D231" s="2" t="str">
        <f t="shared" si="12"/>
        <v>Sunday</v>
      </c>
      <c r="E231" s="4">
        <v>46068</v>
      </c>
      <c r="H231" s="3" t="str">
        <f>IF(OR(Table1[[#This Row],[US Holiday]]&lt;&gt;"", Table1[[#This Row],[India Holiday]]&lt;&gt;""), "Yes", "No")</f>
        <v>No</v>
      </c>
      <c r="I231" s="2" t="str">
        <f>IF(
  AND(
    WORKDAY(E231-1,1)=E231,
    _xlfn.CONCAT(F231:G231)=""
  ),
  _xlfn.MAXIFS(I$2:I230,C$2:C230,C231,B$2:B230,B231)+1,
  ""
)</f>
        <v/>
      </c>
    </row>
    <row r="232" spans="2:9" x14ac:dyDescent="0.25">
      <c r="B232" s="2">
        <f t="shared" si="11"/>
        <v>2026</v>
      </c>
      <c r="C232" s="2" t="str">
        <f t="shared" si="10"/>
        <v>February</v>
      </c>
      <c r="D232" s="2" t="str">
        <f t="shared" si="12"/>
        <v>Monday</v>
      </c>
      <c r="E232" s="4">
        <v>46069</v>
      </c>
      <c r="H232" s="3" t="str">
        <f>IF(OR(Table1[[#This Row],[US Holiday]]&lt;&gt;"", Table1[[#This Row],[India Holiday]]&lt;&gt;""), "Yes", "No")</f>
        <v>No</v>
      </c>
      <c r="I232" s="2">
        <f>IF(
  AND(
    WORKDAY(E232-1,1)=E232,
    _xlfn.CONCAT(F232:G232)=""
  ),
  _xlfn.MAXIFS(I$2:I231,C$2:C231,C232,B$2:B231,B232)+1,
  ""
)</f>
        <v>11</v>
      </c>
    </row>
    <row r="233" spans="2:9" x14ac:dyDescent="0.25">
      <c r="B233" s="2">
        <f t="shared" si="11"/>
        <v>2026</v>
      </c>
      <c r="C233" s="2" t="str">
        <f t="shared" si="10"/>
        <v>February</v>
      </c>
      <c r="D233" s="2" t="str">
        <f t="shared" si="12"/>
        <v>Tuesday</v>
      </c>
      <c r="E233" s="4">
        <v>46070</v>
      </c>
      <c r="H233" s="3" t="str">
        <f>IF(OR(Table1[[#This Row],[US Holiday]]&lt;&gt;"", Table1[[#This Row],[India Holiday]]&lt;&gt;""), "Yes", "No")</f>
        <v>No</v>
      </c>
      <c r="I233" s="2">
        <f>IF(
  AND(
    WORKDAY(E233-1,1)=E233,
    _xlfn.CONCAT(F233:G233)=""
  ),
  _xlfn.MAXIFS(I$2:I232,C$2:C232,C233,B$2:B232,B233)+1,
  ""
)</f>
        <v>12</v>
      </c>
    </row>
    <row r="234" spans="2:9" x14ac:dyDescent="0.25">
      <c r="B234" s="2">
        <f t="shared" si="11"/>
        <v>2026</v>
      </c>
      <c r="C234" s="2" t="str">
        <f t="shared" si="10"/>
        <v>February</v>
      </c>
      <c r="D234" s="2" t="str">
        <f t="shared" si="12"/>
        <v>Wednesday</v>
      </c>
      <c r="E234" s="4">
        <v>46071</v>
      </c>
      <c r="H234" s="3" t="str">
        <f>IF(OR(Table1[[#This Row],[US Holiday]]&lt;&gt;"", Table1[[#This Row],[India Holiday]]&lt;&gt;""), "Yes", "No")</f>
        <v>No</v>
      </c>
      <c r="I234" s="2">
        <f>IF(
  AND(
    WORKDAY(E234-1,1)=E234,
    _xlfn.CONCAT(F234:G234)=""
  ),
  _xlfn.MAXIFS(I$2:I233,C$2:C233,C234,B$2:B233,B234)+1,
  ""
)</f>
        <v>13</v>
      </c>
    </row>
    <row r="235" spans="2:9" x14ac:dyDescent="0.25">
      <c r="B235" s="2">
        <f t="shared" si="11"/>
        <v>2026</v>
      </c>
      <c r="C235" s="2" t="str">
        <f t="shared" si="10"/>
        <v>February</v>
      </c>
      <c r="D235" s="2" t="str">
        <f t="shared" si="12"/>
        <v>Thursday</v>
      </c>
      <c r="E235" s="4">
        <v>46072</v>
      </c>
      <c r="H235" s="3" t="str">
        <f>IF(OR(Table1[[#This Row],[US Holiday]]&lt;&gt;"", Table1[[#This Row],[India Holiday]]&lt;&gt;""), "Yes", "No")</f>
        <v>No</v>
      </c>
      <c r="I235" s="2">
        <f>IF(
  AND(
    WORKDAY(E235-1,1)=E235,
    _xlfn.CONCAT(F235:G235)=""
  ),
  _xlfn.MAXIFS(I$2:I234,C$2:C234,C235,B$2:B234,B235)+1,
  ""
)</f>
        <v>14</v>
      </c>
    </row>
    <row r="236" spans="2:9" x14ac:dyDescent="0.25">
      <c r="B236" s="2">
        <f t="shared" si="11"/>
        <v>2026</v>
      </c>
      <c r="C236" s="2" t="str">
        <f t="shared" si="10"/>
        <v>February</v>
      </c>
      <c r="D236" s="2" t="str">
        <f t="shared" si="12"/>
        <v>Friday</v>
      </c>
      <c r="E236" s="4">
        <v>46073</v>
      </c>
      <c r="H236" s="3" t="str">
        <f>IF(OR(Table1[[#This Row],[US Holiday]]&lt;&gt;"", Table1[[#This Row],[India Holiday]]&lt;&gt;""), "Yes", "No")</f>
        <v>No</v>
      </c>
      <c r="I236" s="2">
        <f>IF(
  AND(
    WORKDAY(E236-1,1)=E236,
    _xlfn.CONCAT(F236:G236)=""
  ),
  _xlfn.MAXIFS(I$2:I235,C$2:C235,C236,B$2:B235,B236)+1,
  ""
)</f>
        <v>15</v>
      </c>
    </row>
    <row r="237" spans="2:9" x14ac:dyDescent="0.25">
      <c r="B237" s="2">
        <f t="shared" si="11"/>
        <v>2026</v>
      </c>
      <c r="C237" s="2" t="str">
        <f t="shared" si="10"/>
        <v>February</v>
      </c>
      <c r="D237" s="2" t="str">
        <f t="shared" si="12"/>
        <v>Saturday</v>
      </c>
      <c r="E237" s="4">
        <v>46074</v>
      </c>
      <c r="H237" s="3" t="str">
        <f>IF(OR(Table1[[#This Row],[US Holiday]]&lt;&gt;"", Table1[[#This Row],[India Holiday]]&lt;&gt;""), "Yes", "No")</f>
        <v>No</v>
      </c>
      <c r="I237" s="2" t="str">
        <f>IF(
  AND(
    WORKDAY(E237-1,1)=E237,
    _xlfn.CONCAT(F237:G237)=""
  ),
  _xlfn.MAXIFS(I$2:I236,C$2:C236,C237,B$2:B236,B237)+1,
  ""
)</f>
        <v/>
      </c>
    </row>
    <row r="238" spans="2:9" x14ac:dyDescent="0.25">
      <c r="B238" s="2">
        <f t="shared" si="11"/>
        <v>2026</v>
      </c>
      <c r="C238" s="2" t="str">
        <f t="shared" si="10"/>
        <v>February</v>
      </c>
      <c r="D238" s="2" t="str">
        <f t="shared" si="12"/>
        <v>Sunday</v>
      </c>
      <c r="E238" s="4">
        <v>46075</v>
      </c>
      <c r="H238" s="3" t="str">
        <f>IF(OR(Table1[[#This Row],[US Holiday]]&lt;&gt;"", Table1[[#This Row],[India Holiday]]&lt;&gt;""), "Yes", "No")</f>
        <v>No</v>
      </c>
      <c r="I238" s="2" t="str">
        <f>IF(
  AND(
    WORKDAY(E238-1,1)=E238,
    _xlfn.CONCAT(F238:G238)=""
  ),
  _xlfn.MAXIFS(I$2:I237,C$2:C237,C238,B$2:B237,B238)+1,
  ""
)</f>
        <v/>
      </c>
    </row>
    <row r="239" spans="2:9" x14ac:dyDescent="0.25">
      <c r="B239" s="2">
        <f t="shared" si="11"/>
        <v>2026</v>
      </c>
      <c r="C239" s="2" t="str">
        <f t="shared" si="10"/>
        <v>February</v>
      </c>
      <c r="D239" s="2" t="str">
        <f t="shared" si="12"/>
        <v>Monday</v>
      </c>
      <c r="E239" s="4">
        <v>46076</v>
      </c>
      <c r="H239" s="3" t="str">
        <f>IF(OR(Table1[[#This Row],[US Holiday]]&lt;&gt;"", Table1[[#This Row],[India Holiday]]&lt;&gt;""), "Yes", "No")</f>
        <v>No</v>
      </c>
      <c r="I239" s="2">
        <f>IF(
  AND(
    WORKDAY(E239-1,1)=E239,
    _xlfn.CONCAT(F239:G239)=""
  ),
  _xlfn.MAXIFS(I$2:I238,C$2:C238,C239,B$2:B238,B239)+1,
  ""
)</f>
        <v>16</v>
      </c>
    </row>
    <row r="240" spans="2:9" x14ac:dyDescent="0.25">
      <c r="B240" s="2">
        <f t="shared" si="11"/>
        <v>2026</v>
      </c>
      <c r="C240" s="2" t="str">
        <f t="shared" si="10"/>
        <v>February</v>
      </c>
      <c r="D240" s="2" t="str">
        <f t="shared" si="12"/>
        <v>Tuesday</v>
      </c>
      <c r="E240" s="4">
        <v>46077</v>
      </c>
      <c r="H240" s="3" t="str">
        <f>IF(OR(Table1[[#This Row],[US Holiday]]&lt;&gt;"", Table1[[#This Row],[India Holiday]]&lt;&gt;""), "Yes", "No")</f>
        <v>No</v>
      </c>
      <c r="I240" s="2">
        <f>IF(
  AND(
    WORKDAY(E240-1,1)=E240,
    _xlfn.CONCAT(F240:G240)=""
  ),
  _xlfn.MAXIFS(I$2:I239,C$2:C239,C240,B$2:B239,B240)+1,
  ""
)</f>
        <v>17</v>
      </c>
    </row>
    <row r="241" spans="2:9" x14ac:dyDescent="0.25">
      <c r="B241" s="2">
        <f t="shared" si="11"/>
        <v>2026</v>
      </c>
      <c r="C241" s="2" t="str">
        <f t="shared" si="10"/>
        <v>February</v>
      </c>
      <c r="D241" s="2" t="str">
        <f t="shared" si="12"/>
        <v>Wednesday</v>
      </c>
      <c r="E241" s="4">
        <v>46078</v>
      </c>
      <c r="H241" s="3" t="str">
        <f>IF(OR(Table1[[#This Row],[US Holiday]]&lt;&gt;"", Table1[[#This Row],[India Holiday]]&lt;&gt;""), "Yes", "No")</f>
        <v>No</v>
      </c>
      <c r="I241" s="2">
        <f>IF(
  AND(
    WORKDAY(E241-1,1)=E241,
    _xlfn.CONCAT(F241:G241)=""
  ),
  _xlfn.MAXIFS(I$2:I240,C$2:C240,C241,B$2:B240,B241)+1,
  ""
)</f>
        <v>18</v>
      </c>
    </row>
    <row r="242" spans="2:9" x14ac:dyDescent="0.25">
      <c r="B242" s="2">
        <f t="shared" si="11"/>
        <v>2026</v>
      </c>
      <c r="C242" s="2" t="str">
        <f t="shared" si="10"/>
        <v>February</v>
      </c>
      <c r="D242" s="2" t="str">
        <f t="shared" si="12"/>
        <v>Thursday</v>
      </c>
      <c r="E242" s="4">
        <v>46079</v>
      </c>
      <c r="H242" s="3" t="str">
        <f>IF(OR(Table1[[#This Row],[US Holiday]]&lt;&gt;"", Table1[[#This Row],[India Holiday]]&lt;&gt;""), "Yes", "No")</f>
        <v>No</v>
      </c>
      <c r="I242" s="2">
        <f>IF(
  AND(
    WORKDAY(E242-1,1)=E242,
    _xlfn.CONCAT(F242:G242)=""
  ),
  _xlfn.MAXIFS(I$2:I241,C$2:C241,C242,B$2:B241,B242)+1,
  ""
)</f>
        <v>19</v>
      </c>
    </row>
    <row r="243" spans="2:9" x14ac:dyDescent="0.25">
      <c r="B243" s="2">
        <f t="shared" si="11"/>
        <v>2026</v>
      </c>
      <c r="C243" s="2" t="str">
        <f t="shared" si="10"/>
        <v>February</v>
      </c>
      <c r="D243" s="2" t="str">
        <f t="shared" si="12"/>
        <v>Friday</v>
      </c>
      <c r="E243" s="4">
        <v>46080</v>
      </c>
      <c r="H243" s="3" t="str">
        <f>IF(OR(Table1[[#This Row],[US Holiday]]&lt;&gt;"", Table1[[#This Row],[India Holiday]]&lt;&gt;""), "Yes", "No")</f>
        <v>No</v>
      </c>
      <c r="I243" s="2">
        <f>IF(
  AND(
    WORKDAY(E243-1,1)=E243,
    _xlfn.CONCAT(F243:G243)=""
  ),
  _xlfn.MAXIFS(I$2:I242,C$2:C242,C243,B$2:B242,B243)+1,
  ""
)</f>
        <v>20</v>
      </c>
    </row>
    <row r="244" spans="2:9" x14ac:dyDescent="0.25">
      <c r="B244" s="2">
        <f t="shared" si="11"/>
        <v>2026</v>
      </c>
      <c r="C244" s="2" t="str">
        <f t="shared" si="10"/>
        <v>February</v>
      </c>
      <c r="D244" s="2" t="str">
        <f t="shared" si="12"/>
        <v>Saturday</v>
      </c>
      <c r="E244" s="4">
        <v>46081</v>
      </c>
      <c r="H244" s="3" t="str">
        <f>IF(OR(Table1[[#This Row],[US Holiday]]&lt;&gt;"", Table1[[#This Row],[India Holiday]]&lt;&gt;""), "Yes", "No")</f>
        <v>No</v>
      </c>
      <c r="I244" s="2" t="str">
        <f>IF(
  AND(
    WORKDAY(E244-1,1)=E244,
    _xlfn.CONCAT(F244:G244)=""
  ),
  _xlfn.MAXIFS(I$2:I243,C$2:C243,C244,B$2:B243,B244)+1,
  ""
)</f>
        <v/>
      </c>
    </row>
    <row r="245" spans="2:9" x14ac:dyDescent="0.25">
      <c r="B245" s="2">
        <f t="shared" si="11"/>
        <v>2026</v>
      </c>
      <c r="C245" s="2" t="str">
        <f t="shared" si="10"/>
        <v>March</v>
      </c>
      <c r="D245" s="2" t="str">
        <f t="shared" si="12"/>
        <v>Sunday</v>
      </c>
      <c r="E245" s="4">
        <v>46082</v>
      </c>
      <c r="H245" s="3" t="str">
        <f>IF(OR(Table1[[#This Row],[US Holiday]]&lt;&gt;"", Table1[[#This Row],[India Holiday]]&lt;&gt;""), "Yes", "No")</f>
        <v>No</v>
      </c>
      <c r="I245" s="2" t="str">
        <f>IF(
  AND(
    WORKDAY(E245-1,1)=E245,
    _xlfn.CONCAT(F245:G245)=""
  ),
  _xlfn.MAXIFS(I$2:I244,C$2:C244,C245,B$2:B244,B245)+1,
  ""
)</f>
        <v/>
      </c>
    </row>
    <row r="246" spans="2:9" x14ac:dyDescent="0.25">
      <c r="B246" s="2">
        <f t="shared" si="11"/>
        <v>2026</v>
      </c>
      <c r="C246" s="2" t="str">
        <f t="shared" si="10"/>
        <v>March</v>
      </c>
      <c r="D246" s="2" t="str">
        <f t="shared" si="12"/>
        <v>Monday</v>
      </c>
      <c r="E246" s="4">
        <v>46083</v>
      </c>
      <c r="H246" s="3" t="str">
        <f>IF(OR(Table1[[#This Row],[US Holiday]]&lt;&gt;"", Table1[[#This Row],[India Holiday]]&lt;&gt;""), "Yes", "No")</f>
        <v>No</v>
      </c>
      <c r="I246" s="2">
        <f>IF(
  AND(
    WORKDAY(E246-1,1)=E246,
    _xlfn.CONCAT(F246:G246)=""
  ),
  _xlfn.MAXIFS(I$2:I245,C$2:C245,C246,B$2:B245,B246)+1,
  ""
)</f>
        <v>1</v>
      </c>
    </row>
    <row r="247" spans="2:9" x14ac:dyDescent="0.25">
      <c r="B247" s="2">
        <f t="shared" si="11"/>
        <v>2026</v>
      </c>
      <c r="C247" s="2" t="str">
        <f t="shared" si="10"/>
        <v>March</v>
      </c>
      <c r="D247" s="2" t="str">
        <f t="shared" si="12"/>
        <v>Tuesday</v>
      </c>
      <c r="E247" s="4">
        <v>46084</v>
      </c>
      <c r="H247" s="3" t="str">
        <f>IF(OR(Table1[[#This Row],[US Holiday]]&lt;&gt;"", Table1[[#This Row],[India Holiday]]&lt;&gt;""), "Yes", "No")</f>
        <v>No</v>
      </c>
      <c r="I247" s="2">
        <f>IF(
  AND(
    WORKDAY(E247-1,1)=E247,
    _xlfn.CONCAT(F247:G247)=""
  ),
  _xlfn.MAXIFS(I$2:I246,C$2:C246,C247,B$2:B246,B247)+1,
  ""
)</f>
        <v>2</v>
      </c>
    </row>
    <row r="248" spans="2:9" x14ac:dyDescent="0.25">
      <c r="B248" s="2">
        <f t="shared" si="11"/>
        <v>2026</v>
      </c>
      <c r="C248" s="2" t="str">
        <f t="shared" si="10"/>
        <v>March</v>
      </c>
      <c r="D248" s="2" t="str">
        <f t="shared" si="12"/>
        <v>Wednesday</v>
      </c>
      <c r="E248" s="4">
        <v>46085</v>
      </c>
      <c r="H248" s="3" t="str">
        <f>IF(OR(Table1[[#This Row],[US Holiday]]&lt;&gt;"", Table1[[#This Row],[India Holiday]]&lt;&gt;""), "Yes", "No")</f>
        <v>No</v>
      </c>
      <c r="I248" s="2">
        <f>IF(
  AND(
    WORKDAY(E248-1,1)=E248,
    _xlfn.CONCAT(F248:G248)=""
  ),
  _xlfn.MAXIFS(I$2:I247,C$2:C247,C248,B$2:B247,B248)+1,
  ""
)</f>
        <v>3</v>
      </c>
    </row>
    <row r="249" spans="2:9" x14ac:dyDescent="0.25">
      <c r="B249" s="2">
        <f t="shared" si="11"/>
        <v>2026</v>
      </c>
      <c r="C249" s="2" t="str">
        <f t="shared" si="10"/>
        <v>March</v>
      </c>
      <c r="D249" s="2" t="str">
        <f t="shared" si="12"/>
        <v>Thursday</v>
      </c>
      <c r="E249" s="4">
        <v>46086</v>
      </c>
      <c r="H249" s="3" t="str">
        <f>IF(OR(Table1[[#This Row],[US Holiday]]&lt;&gt;"", Table1[[#This Row],[India Holiday]]&lt;&gt;""), "Yes", "No")</f>
        <v>No</v>
      </c>
      <c r="I249" s="2">
        <f>IF(
  AND(
    WORKDAY(E249-1,1)=E249,
    _xlfn.CONCAT(F249:G249)=""
  ),
  _xlfn.MAXIFS(I$2:I248,C$2:C248,C249,B$2:B248,B249)+1,
  ""
)</f>
        <v>4</v>
      </c>
    </row>
    <row r="250" spans="2:9" x14ac:dyDescent="0.25">
      <c r="B250" s="2">
        <f t="shared" si="11"/>
        <v>2026</v>
      </c>
      <c r="C250" s="2" t="str">
        <f t="shared" si="10"/>
        <v>March</v>
      </c>
      <c r="D250" s="2" t="str">
        <f t="shared" si="12"/>
        <v>Friday</v>
      </c>
      <c r="E250" s="4">
        <v>46087</v>
      </c>
      <c r="H250" s="3" t="str">
        <f>IF(OR(Table1[[#This Row],[US Holiday]]&lt;&gt;"", Table1[[#This Row],[India Holiday]]&lt;&gt;""), "Yes", "No")</f>
        <v>No</v>
      </c>
      <c r="I250" s="2">
        <f>IF(
  AND(
    WORKDAY(E250-1,1)=E250,
    _xlfn.CONCAT(F250:G250)=""
  ),
  _xlfn.MAXIFS(I$2:I249,C$2:C249,C250,B$2:B249,B250)+1,
  ""
)</f>
        <v>5</v>
      </c>
    </row>
    <row r="251" spans="2:9" x14ac:dyDescent="0.25">
      <c r="B251" s="2">
        <f t="shared" si="11"/>
        <v>2026</v>
      </c>
      <c r="C251" s="2" t="str">
        <f t="shared" si="10"/>
        <v>March</v>
      </c>
      <c r="D251" s="2" t="str">
        <f t="shared" si="12"/>
        <v>Saturday</v>
      </c>
      <c r="E251" s="4">
        <v>46088</v>
      </c>
      <c r="H251" s="3" t="str">
        <f>IF(OR(Table1[[#This Row],[US Holiday]]&lt;&gt;"", Table1[[#This Row],[India Holiday]]&lt;&gt;""), "Yes", "No")</f>
        <v>No</v>
      </c>
      <c r="I251" s="2" t="str">
        <f>IF(
  AND(
    WORKDAY(E251-1,1)=E251,
    _xlfn.CONCAT(F251:G251)=""
  ),
  _xlfn.MAXIFS(I$2:I250,C$2:C250,C251,B$2:B250,B251)+1,
  ""
)</f>
        <v/>
      </c>
    </row>
    <row r="252" spans="2:9" x14ac:dyDescent="0.25">
      <c r="B252" s="2">
        <f t="shared" si="11"/>
        <v>2026</v>
      </c>
      <c r="C252" s="2" t="str">
        <f t="shared" si="10"/>
        <v>March</v>
      </c>
      <c r="D252" s="2" t="str">
        <f t="shared" si="12"/>
        <v>Sunday</v>
      </c>
      <c r="E252" s="4">
        <v>46089</v>
      </c>
      <c r="H252" s="3" t="str">
        <f>IF(OR(Table1[[#This Row],[US Holiday]]&lt;&gt;"", Table1[[#This Row],[India Holiday]]&lt;&gt;""), "Yes", "No")</f>
        <v>No</v>
      </c>
      <c r="I252" s="2" t="str">
        <f>IF(
  AND(
    WORKDAY(E252-1,1)=E252,
    _xlfn.CONCAT(F252:G252)=""
  ),
  _xlfn.MAXIFS(I$2:I251,C$2:C251,C252,B$2:B251,B252)+1,
  ""
)</f>
        <v/>
      </c>
    </row>
    <row r="253" spans="2:9" x14ac:dyDescent="0.25">
      <c r="B253" s="2">
        <f t="shared" si="11"/>
        <v>2026</v>
      </c>
      <c r="C253" s="2" t="str">
        <f t="shared" si="10"/>
        <v>March</v>
      </c>
      <c r="D253" s="2" t="str">
        <f t="shared" si="12"/>
        <v>Monday</v>
      </c>
      <c r="E253" s="4">
        <v>46090</v>
      </c>
      <c r="H253" s="3" t="str">
        <f>IF(OR(Table1[[#This Row],[US Holiday]]&lt;&gt;"", Table1[[#This Row],[India Holiday]]&lt;&gt;""), "Yes", "No")</f>
        <v>No</v>
      </c>
      <c r="I253" s="2">
        <f>IF(
  AND(
    WORKDAY(E253-1,1)=E253,
    _xlfn.CONCAT(F253:G253)=""
  ),
  _xlfn.MAXIFS(I$2:I252,C$2:C252,C253,B$2:B252,B253)+1,
  ""
)</f>
        <v>6</v>
      </c>
    </row>
    <row r="254" spans="2:9" x14ac:dyDescent="0.25">
      <c r="B254" s="2">
        <f t="shared" si="11"/>
        <v>2026</v>
      </c>
      <c r="C254" s="2" t="str">
        <f t="shared" si="10"/>
        <v>March</v>
      </c>
      <c r="D254" s="2" t="str">
        <f t="shared" si="12"/>
        <v>Tuesday</v>
      </c>
      <c r="E254" s="4">
        <v>46091</v>
      </c>
      <c r="H254" s="3" t="str">
        <f>IF(OR(Table1[[#This Row],[US Holiday]]&lt;&gt;"", Table1[[#This Row],[India Holiday]]&lt;&gt;""), "Yes", "No")</f>
        <v>No</v>
      </c>
      <c r="I254" s="2">
        <f>IF(
  AND(
    WORKDAY(E254-1,1)=E254,
    _xlfn.CONCAT(F254:G254)=""
  ),
  _xlfn.MAXIFS(I$2:I253,C$2:C253,C254,B$2:B253,B254)+1,
  ""
)</f>
        <v>7</v>
      </c>
    </row>
    <row r="255" spans="2:9" x14ac:dyDescent="0.25">
      <c r="B255" s="2">
        <f t="shared" si="11"/>
        <v>2026</v>
      </c>
      <c r="C255" s="2" t="str">
        <f t="shared" si="10"/>
        <v>March</v>
      </c>
      <c r="D255" s="2" t="str">
        <f t="shared" si="12"/>
        <v>Wednesday</v>
      </c>
      <c r="E255" s="4">
        <v>46092</v>
      </c>
      <c r="H255" s="3" t="str">
        <f>IF(OR(Table1[[#This Row],[US Holiday]]&lt;&gt;"", Table1[[#This Row],[India Holiday]]&lt;&gt;""), "Yes", "No")</f>
        <v>No</v>
      </c>
      <c r="I255" s="2">
        <f>IF(
  AND(
    WORKDAY(E255-1,1)=E255,
    _xlfn.CONCAT(F255:G255)=""
  ),
  _xlfn.MAXIFS(I$2:I254,C$2:C254,C255,B$2:B254,B255)+1,
  ""
)</f>
        <v>8</v>
      </c>
    </row>
    <row r="256" spans="2:9" x14ac:dyDescent="0.25">
      <c r="B256" s="2">
        <f t="shared" si="11"/>
        <v>2026</v>
      </c>
      <c r="C256" s="2" t="str">
        <f t="shared" si="10"/>
        <v>March</v>
      </c>
      <c r="D256" s="2" t="str">
        <f t="shared" si="12"/>
        <v>Thursday</v>
      </c>
      <c r="E256" s="4">
        <v>46093</v>
      </c>
      <c r="H256" s="3" t="str">
        <f>IF(OR(Table1[[#This Row],[US Holiday]]&lt;&gt;"", Table1[[#This Row],[India Holiday]]&lt;&gt;""), "Yes", "No")</f>
        <v>No</v>
      </c>
      <c r="I256" s="2">
        <f>IF(
  AND(
    WORKDAY(E256-1,1)=E256,
    _xlfn.CONCAT(F256:G256)=""
  ),
  _xlfn.MAXIFS(I$2:I255,C$2:C255,C256,B$2:B255,B256)+1,
  ""
)</f>
        <v>9</v>
      </c>
    </row>
    <row r="257" spans="2:9" x14ac:dyDescent="0.25">
      <c r="B257" s="2">
        <f t="shared" si="11"/>
        <v>2026</v>
      </c>
      <c r="C257" s="2" t="str">
        <f t="shared" ref="C257:C320" si="13">TEXT(E257,"mmmm")</f>
        <v>March</v>
      </c>
      <c r="D257" s="2" t="str">
        <f t="shared" si="12"/>
        <v>Friday</v>
      </c>
      <c r="E257" s="4">
        <v>46094</v>
      </c>
      <c r="H257" s="3" t="str">
        <f>IF(OR(Table1[[#This Row],[US Holiday]]&lt;&gt;"", Table1[[#This Row],[India Holiday]]&lt;&gt;""), "Yes", "No")</f>
        <v>No</v>
      </c>
      <c r="I257" s="2">
        <f>IF(
  AND(
    WORKDAY(E257-1,1)=E257,
    _xlfn.CONCAT(F257:G257)=""
  ),
  _xlfn.MAXIFS(I$2:I256,C$2:C256,C257,B$2:B256,B257)+1,
  ""
)</f>
        <v>10</v>
      </c>
    </row>
    <row r="258" spans="2:9" x14ac:dyDescent="0.25">
      <c r="B258" s="2">
        <f t="shared" si="11"/>
        <v>2026</v>
      </c>
      <c r="C258" s="2" t="str">
        <f t="shared" si="13"/>
        <v>March</v>
      </c>
      <c r="D258" s="2" t="str">
        <f t="shared" si="12"/>
        <v>Saturday</v>
      </c>
      <c r="E258" s="4">
        <v>46095</v>
      </c>
      <c r="H258" s="3" t="str">
        <f>IF(OR(Table1[[#This Row],[US Holiday]]&lt;&gt;"", Table1[[#This Row],[India Holiday]]&lt;&gt;""), "Yes", "No")</f>
        <v>No</v>
      </c>
      <c r="I258" s="2" t="str">
        <f>IF(
  AND(
    WORKDAY(E258-1,1)=E258,
    _xlfn.CONCAT(F258:G258)=""
  ),
  _xlfn.MAXIFS(I$2:I257,C$2:C257,C258,B$2:B257,B258)+1,
  ""
)</f>
        <v/>
      </c>
    </row>
    <row r="259" spans="2:9" x14ac:dyDescent="0.25">
      <c r="B259" s="2">
        <f t="shared" ref="B259:B322" si="14">YEAR(E259)</f>
        <v>2026</v>
      </c>
      <c r="C259" s="2" t="str">
        <f t="shared" si="13"/>
        <v>March</v>
      </c>
      <c r="D259" s="2" t="str">
        <f t="shared" ref="D259:D322" si="15">TEXT(E259,"dddd")</f>
        <v>Sunday</v>
      </c>
      <c r="E259" s="4">
        <v>46096</v>
      </c>
      <c r="H259" s="3" t="str">
        <f>IF(OR(Table1[[#This Row],[US Holiday]]&lt;&gt;"", Table1[[#This Row],[India Holiday]]&lt;&gt;""), "Yes", "No")</f>
        <v>No</v>
      </c>
      <c r="I259" s="2" t="str">
        <f>IF(
  AND(
    WORKDAY(E259-1,1)=E259,
    _xlfn.CONCAT(F259:G259)=""
  ),
  _xlfn.MAXIFS(I$2:I258,C$2:C258,C259,B$2:B258,B259)+1,
  ""
)</f>
        <v/>
      </c>
    </row>
    <row r="260" spans="2:9" x14ac:dyDescent="0.25">
      <c r="B260" s="2">
        <f t="shared" si="14"/>
        <v>2026</v>
      </c>
      <c r="C260" s="2" t="str">
        <f t="shared" si="13"/>
        <v>March</v>
      </c>
      <c r="D260" s="2" t="str">
        <f t="shared" si="15"/>
        <v>Monday</v>
      </c>
      <c r="E260" s="4">
        <v>46097</v>
      </c>
      <c r="H260" s="3" t="str">
        <f>IF(OR(Table1[[#This Row],[US Holiday]]&lt;&gt;"", Table1[[#This Row],[India Holiday]]&lt;&gt;""), "Yes", "No")</f>
        <v>No</v>
      </c>
      <c r="I260" s="2">
        <f>IF(
  AND(
    WORKDAY(E260-1,1)=E260,
    _xlfn.CONCAT(F260:G260)=""
  ),
  _xlfn.MAXIFS(I$2:I259,C$2:C259,C260,B$2:B259,B260)+1,
  ""
)</f>
        <v>11</v>
      </c>
    </row>
    <row r="261" spans="2:9" x14ac:dyDescent="0.25">
      <c r="B261" s="2">
        <f t="shared" si="14"/>
        <v>2026</v>
      </c>
      <c r="C261" s="2" t="str">
        <f t="shared" si="13"/>
        <v>March</v>
      </c>
      <c r="D261" s="2" t="str">
        <f t="shared" si="15"/>
        <v>Tuesday</v>
      </c>
      <c r="E261" s="4">
        <v>46098</v>
      </c>
      <c r="H261" s="3" t="str">
        <f>IF(OR(Table1[[#This Row],[US Holiday]]&lt;&gt;"", Table1[[#This Row],[India Holiday]]&lt;&gt;""), "Yes", "No")</f>
        <v>No</v>
      </c>
      <c r="I261" s="2">
        <f>IF(
  AND(
    WORKDAY(E261-1,1)=E261,
    _xlfn.CONCAT(F261:G261)=""
  ),
  _xlfn.MAXIFS(I$2:I260,C$2:C260,C261,B$2:B260,B261)+1,
  ""
)</f>
        <v>12</v>
      </c>
    </row>
    <row r="262" spans="2:9" x14ac:dyDescent="0.25">
      <c r="B262" s="2">
        <f t="shared" si="14"/>
        <v>2026</v>
      </c>
      <c r="C262" s="2" t="str">
        <f t="shared" si="13"/>
        <v>March</v>
      </c>
      <c r="D262" s="2" t="str">
        <f t="shared" si="15"/>
        <v>Wednesday</v>
      </c>
      <c r="E262" s="4">
        <v>46099</v>
      </c>
      <c r="H262" s="3" t="str">
        <f>IF(OR(Table1[[#This Row],[US Holiday]]&lt;&gt;"", Table1[[#This Row],[India Holiday]]&lt;&gt;""), "Yes", "No")</f>
        <v>No</v>
      </c>
      <c r="I262" s="2">
        <f>IF(
  AND(
    WORKDAY(E262-1,1)=E262,
    _xlfn.CONCAT(F262:G262)=""
  ),
  _xlfn.MAXIFS(I$2:I261,C$2:C261,C262,B$2:B261,B262)+1,
  ""
)</f>
        <v>13</v>
      </c>
    </row>
    <row r="263" spans="2:9" x14ac:dyDescent="0.25">
      <c r="B263" s="2">
        <f t="shared" si="14"/>
        <v>2026</v>
      </c>
      <c r="C263" s="2" t="str">
        <f t="shared" si="13"/>
        <v>March</v>
      </c>
      <c r="D263" s="2" t="str">
        <f t="shared" si="15"/>
        <v>Thursday</v>
      </c>
      <c r="E263" s="4">
        <v>46100</v>
      </c>
      <c r="H263" s="3" t="str">
        <f>IF(OR(Table1[[#This Row],[US Holiday]]&lt;&gt;"", Table1[[#This Row],[India Holiday]]&lt;&gt;""), "Yes", "No")</f>
        <v>No</v>
      </c>
      <c r="I263" s="2">
        <f>IF(
  AND(
    WORKDAY(E263-1,1)=E263,
    _xlfn.CONCAT(F263:G263)=""
  ),
  _xlfn.MAXIFS(I$2:I262,C$2:C262,C263,B$2:B262,B263)+1,
  ""
)</f>
        <v>14</v>
      </c>
    </row>
    <row r="264" spans="2:9" x14ac:dyDescent="0.25">
      <c r="B264" s="2">
        <f t="shared" si="14"/>
        <v>2026</v>
      </c>
      <c r="C264" s="2" t="str">
        <f t="shared" si="13"/>
        <v>March</v>
      </c>
      <c r="D264" s="2" t="str">
        <f t="shared" si="15"/>
        <v>Friday</v>
      </c>
      <c r="E264" s="4">
        <v>46101</v>
      </c>
      <c r="H264" s="3" t="str">
        <f>IF(OR(Table1[[#This Row],[US Holiday]]&lt;&gt;"", Table1[[#This Row],[India Holiday]]&lt;&gt;""), "Yes", "No")</f>
        <v>No</v>
      </c>
      <c r="I264" s="2">
        <f>IF(
  AND(
    WORKDAY(E264-1,1)=E264,
    _xlfn.CONCAT(F264:G264)=""
  ),
  _xlfn.MAXIFS(I$2:I263,C$2:C263,C264,B$2:B263,B264)+1,
  ""
)</f>
        <v>15</v>
      </c>
    </row>
    <row r="265" spans="2:9" x14ac:dyDescent="0.25">
      <c r="B265" s="2">
        <f t="shared" si="14"/>
        <v>2026</v>
      </c>
      <c r="C265" s="2" t="str">
        <f t="shared" si="13"/>
        <v>March</v>
      </c>
      <c r="D265" s="2" t="str">
        <f t="shared" si="15"/>
        <v>Saturday</v>
      </c>
      <c r="E265" s="4">
        <v>46102</v>
      </c>
      <c r="H265" s="3" t="str">
        <f>IF(OR(Table1[[#This Row],[US Holiday]]&lt;&gt;"", Table1[[#This Row],[India Holiday]]&lt;&gt;""), "Yes", "No")</f>
        <v>No</v>
      </c>
      <c r="I265" s="2" t="str">
        <f>IF(
  AND(
    WORKDAY(E265-1,1)=E265,
    _xlfn.CONCAT(F265:G265)=""
  ),
  _xlfn.MAXIFS(I$2:I264,C$2:C264,C265,B$2:B264,B265)+1,
  ""
)</f>
        <v/>
      </c>
    </row>
    <row r="266" spans="2:9" x14ac:dyDescent="0.25">
      <c r="B266" s="2">
        <f t="shared" si="14"/>
        <v>2026</v>
      </c>
      <c r="C266" s="2" t="str">
        <f t="shared" si="13"/>
        <v>March</v>
      </c>
      <c r="D266" s="2" t="str">
        <f t="shared" si="15"/>
        <v>Sunday</v>
      </c>
      <c r="E266" s="4">
        <v>46103</v>
      </c>
      <c r="H266" s="3" t="str">
        <f>IF(OR(Table1[[#This Row],[US Holiday]]&lt;&gt;"", Table1[[#This Row],[India Holiday]]&lt;&gt;""), "Yes", "No")</f>
        <v>No</v>
      </c>
      <c r="I266" s="2" t="str">
        <f>IF(
  AND(
    WORKDAY(E266-1,1)=E266,
    _xlfn.CONCAT(F266:G266)=""
  ),
  _xlfn.MAXIFS(I$2:I265,C$2:C265,C266,B$2:B265,B266)+1,
  ""
)</f>
        <v/>
      </c>
    </row>
    <row r="267" spans="2:9" x14ac:dyDescent="0.25">
      <c r="B267" s="2">
        <f t="shared" si="14"/>
        <v>2026</v>
      </c>
      <c r="C267" s="2" t="str">
        <f t="shared" si="13"/>
        <v>March</v>
      </c>
      <c r="D267" s="2" t="str">
        <f t="shared" si="15"/>
        <v>Monday</v>
      </c>
      <c r="E267" s="4">
        <v>46104</v>
      </c>
      <c r="H267" s="3" t="str">
        <f>IF(OR(Table1[[#This Row],[US Holiday]]&lt;&gt;"", Table1[[#This Row],[India Holiday]]&lt;&gt;""), "Yes", "No")</f>
        <v>No</v>
      </c>
      <c r="I267" s="2">
        <f>IF(
  AND(
    WORKDAY(E267-1,1)=E267,
    _xlfn.CONCAT(F267:G267)=""
  ),
  _xlfn.MAXIFS(I$2:I266,C$2:C266,C267,B$2:B266,B267)+1,
  ""
)</f>
        <v>16</v>
      </c>
    </row>
    <row r="268" spans="2:9" x14ac:dyDescent="0.25">
      <c r="B268" s="2">
        <f t="shared" si="14"/>
        <v>2026</v>
      </c>
      <c r="C268" s="2" t="str">
        <f t="shared" si="13"/>
        <v>March</v>
      </c>
      <c r="D268" s="2" t="str">
        <f t="shared" si="15"/>
        <v>Tuesday</v>
      </c>
      <c r="E268" s="4">
        <v>46105</v>
      </c>
      <c r="H268" s="3" t="str">
        <f>IF(OR(Table1[[#This Row],[US Holiday]]&lt;&gt;"", Table1[[#This Row],[India Holiday]]&lt;&gt;""), "Yes", "No")</f>
        <v>No</v>
      </c>
      <c r="I268" s="2">
        <f>IF(
  AND(
    WORKDAY(E268-1,1)=E268,
    _xlfn.CONCAT(F268:G268)=""
  ),
  _xlfn.MAXIFS(I$2:I267,C$2:C267,C268,B$2:B267,B268)+1,
  ""
)</f>
        <v>17</v>
      </c>
    </row>
    <row r="269" spans="2:9" x14ac:dyDescent="0.25">
      <c r="B269" s="2">
        <f t="shared" si="14"/>
        <v>2026</v>
      </c>
      <c r="C269" s="2" t="str">
        <f t="shared" si="13"/>
        <v>March</v>
      </c>
      <c r="D269" s="2" t="str">
        <f t="shared" si="15"/>
        <v>Wednesday</v>
      </c>
      <c r="E269" s="4">
        <v>46106</v>
      </c>
      <c r="H269" s="3" t="str">
        <f>IF(OR(Table1[[#This Row],[US Holiday]]&lt;&gt;"", Table1[[#This Row],[India Holiday]]&lt;&gt;""), "Yes", "No")</f>
        <v>No</v>
      </c>
      <c r="I269" s="2">
        <f>IF(
  AND(
    WORKDAY(E269-1,1)=E269,
    _xlfn.CONCAT(F269:G269)=""
  ),
  _xlfn.MAXIFS(I$2:I268,C$2:C268,C269,B$2:B268,B269)+1,
  ""
)</f>
        <v>18</v>
      </c>
    </row>
    <row r="270" spans="2:9" x14ac:dyDescent="0.25">
      <c r="B270" s="2">
        <f t="shared" si="14"/>
        <v>2026</v>
      </c>
      <c r="C270" s="2" t="str">
        <f t="shared" si="13"/>
        <v>March</v>
      </c>
      <c r="D270" s="2" t="str">
        <f t="shared" si="15"/>
        <v>Thursday</v>
      </c>
      <c r="E270" s="4">
        <v>46107</v>
      </c>
      <c r="H270" s="3" t="str">
        <f>IF(OR(Table1[[#This Row],[US Holiday]]&lt;&gt;"", Table1[[#This Row],[India Holiday]]&lt;&gt;""), "Yes", "No")</f>
        <v>No</v>
      </c>
      <c r="I270" s="2">
        <f>IF(
  AND(
    WORKDAY(E270-1,1)=E270,
    _xlfn.CONCAT(F270:G270)=""
  ),
  _xlfn.MAXIFS(I$2:I269,C$2:C269,C270,B$2:B269,B270)+1,
  ""
)</f>
        <v>19</v>
      </c>
    </row>
    <row r="271" spans="2:9" x14ac:dyDescent="0.25">
      <c r="B271" s="2">
        <f t="shared" si="14"/>
        <v>2026</v>
      </c>
      <c r="C271" s="2" t="str">
        <f t="shared" si="13"/>
        <v>March</v>
      </c>
      <c r="D271" s="2" t="str">
        <f t="shared" si="15"/>
        <v>Friday</v>
      </c>
      <c r="E271" s="4">
        <v>46108</v>
      </c>
      <c r="H271" s="3" t="str">
        <f>IF(OR(Table1[[#This Row],[US Holiday]]&lt;&gt;"", Table1[[#This Row],[India Holiday]]&lt;&gt;""), "Yes", "No")</f>
        <v>No</v>
      </c>
      <c r="I271" s="2">
        <f>IF(
  AND(
    WORKDAY(E271-1,1)=E271,
    _xlfn.CONCAT(F271:G271)=""
  ),
  _xlfn.MAXIFS(I$2:I270,C$2:C270,C271,B$2:B270,B271)+1,
  ""
)</f>
        <v>20</v>
      </c>
    </row>
    <row r="272" spans="2:9" x14ac:dyDescent="0.25">
      <c r="B272" s="2">
        <f t="shared" si="14"/>
        <v>2026</v>
      </c>
      <c r="C272" s="2" t="str">
        <f t="shared" si="13"/>
        <v>March</v>
      </c>
      <c r="D272" s="2" t="str">
        <f t="shared" si="15"/>
        <v>Saturday</v>
      </c>
      <c r="E272" s="4">
        <v>46109</v>
      </c>
      <c r="H272" s="3" t="str">
        <f>IF(OR(Table1[[#This Row],[US Holiday]]&lt;&gt;"", Table1[[#This Row],[India Holiday]]&lt;&gt;""), "Yes", "No")</f>
        <v>No</v>
      </c>
      <c r="I272" s="2" t="str">
        <f>IF(
  AND(
    WORKDAY(E272-1,1)=E272,
    _xlfn.CONCAT(F272:G272)=""
  ),
  _xlfn.MAXIFS(I$2:I271,C$2:C271,C272,B$2:B271,B272)+1,
  ""
)</f>
        <v/>
      </c>
    </row>
    <row r="273" spans="2:9" x14ac:dyDescent="0.25">
      <c r="B273" s="2">
        <f t="shared" si="14"/>
        <v>2026</v>
      </c>
      <c r="C273" s="2" t="str">
        <f t="shared" si="13"/>
        <v>March</v>
      </c>
      <c r="D273" s="2" t="str">
        <f t="shared" si="15"/>
        <v>Sunday</v>
      </c>
      <c r="E273" s="4">
        <v>46110</v>
      </c>
      <c r="H273" s="3" t="str">
        <f>IF(OR(Table1[[#This Row],[US Holiday]]&lt;&gt;"", Table1[[#This Row],[India Holiday]]&lt;&gt;""), "Yes", "No")</f>
        <v>No</v>
      </c>
      <c r="I273" s="2" t="str">
        <f>IF(
  AND(
    WORKDAY(E273-1,1)=E273,
    _xlfn.CONCAT(F273:G273)=""
  ),
  _xlfn.MAXIFS(I$2:I272,C$2:C272,C273,B$2:B272,B273)+1,
  ""
)</f>
        <v/>
      </c>
    </row>
    <row r="274" spans="2:9" x14ac:dyDescent="0.25">
      <c r="B274" s="2">
        <f t="shared" si="14"/>
        <v>2026</v>
      </c>
      <c r="C274" s="2" t="str">
        <f t="shared" si="13"/>
        <v>March</v>
      </c>
      <c r="D274" s="2" t="str">
        <f t="shared" si="15"/>
        <v>Monday</v>
      </c>
      <c r="E274" s="4">
        <v>46111</v>
      </c>
      <c r="H274" s="3" t="str">
        <f>IF(OR(Table1[[#This Row],[US Holiday]]&lt;&gt;"", Table1[[#This Row],[India Holiday]]&lt;&gt;""), "Yes", "No")</f>
        <v>No</v>
      </c>
      <c r="I274" s="2">
        <f>IF(
  AND(
    WORKDAY(E274-1,1)=E274,
    _xlfn.CONCAT(F274:G274)=""
  ),
  _xlfn.MAXIFS(I$2:I273,C$2:C273,C274,B$2:B273,B274)+1,
  ""
)</f>
        <v>21</v>
      </c>
    </row>
    <row r="275" spans="2:9" x14ac:dyDescent="0.25">
      <c r="B275" s="2">
        <f t="shared" si="14"/>
        <v>2026</v>
      </c>
      <c r="C275" s="2" t="str">
        <f t="shared" si="13"/>
        <v>March</v>
      </c>
      <c r="D275" s="2" t="str">
        <f t="shared" si="15"/>
        <v>Tuesday</v>
      </c>
      <c r="E275" s="4">
        <v>46112</v>
      </c>
      <c r="H275" s="3" t="str">
        <f>IF(OR(Table1[[#This Row],[US Holiday]]&lt;&gt;"", Table1[[#This Row],[India Holiday]]&lt;&gt;""), "Yes", "No")</f>
        <v>No</v>
      </c>
      <c r="I275" s="2">
        <f>IF(
  AND(
    WORKDAY(E275-1,1)=E275,
    _xlfn.CONCAT(F275:G275)=""
  ),
  _xlfn.MAXIFS(I$2:I274,C$2:C274,C275,B$2:B274,B275)+1,
  ""
)</f>
        <v>22</v>
      </c>
    </row>
    <row r="276" spans="2:9" x14ac:dyDescent="0.25">
      <c r="B276" s="2">
        <f t="shared" si="14"/>
        <v>2026</v>
      </c>
      <c r="C276" s="2" t="str">
        <f t="shared" si="13"/>
        <v>April</v>
      </c>
      <c r="D276" s="2" t="str">
        <f t="shared" si="15"/>
        <v>Wednesday</v>
      </c>
      <c r="E276" s="4">
        <v>46113</v>
      </c>
      <c r="H276" s="3" t="str">
        <f>IF(OR(Table1[[#This Row],[US Holiday]]&lt;&gt;"", Table1[[#This Row],[India Holiday]]&lt;&gt;""), "Yes", "No")</f>
        <v>No</v>
      </c>
      <c r="I276" s="2">
        <f>IF(
  AND(
    WORKDAY(E276-1,1)=E276,
    _xlfn.CONCAT(F276:G276)=""
  ),
  _xlfn.MAXIFS(I$2:I275,C$2:C275,C276,B$2:B275,B276)+1,
  ""
)</f>
        <v>1</v>
      </c>
    </row>
    <row r="277" spans="2:9" x14ac:dyDescent="0.25">
      <c r="B277" s="2">
        <f t="shared" si="14"/>
        <v>2026</v>
      </c>
      <c r="C277" s="2" t="str">
        <f t="shared" si="13"/>
        <v>April</v>
      </c>
      <c r="D277" s="2" t="str">
        <f t="shared" si="15"/>
        <v>Thursday</v>
      </c>
      <c r="E277" s="4">
        <v>46114</v>
      </c>
      <c r="H277" s="3" t="str">
        <f>IF(OR(Table1[[#This Row],[US Holiday]]&lt;&gt;"", Table1[[#This Row],[India Holiday]]&lt;&gt;""), "Yes", "No")</f>
        <v>No</v>
      </c>
      <c r="I277" s="2">
        <f>IF(
  AND(
    WORKDAY(E277-1,1)=E277,
    _xlfn.CONCAT(F277:G277)=""
  ),
  _xlfn.MAXIFS(I$2:I276,C$2:C276,C277,B$2:B276,B277)+1,
  ""
)</f>
        <v>2</v>
      </c>
    </row>
    <row r="278" spans="2:9" x14ac:dyDescent="0.25">
      <c r="B278" s="2">
        <f t="shared" si="14"/>
        <v>2026</v>
      </c>
      <c r="C278" s="2" t="str">
        <f t="shared" si="13"/>
        <v>April</v>
      </c>
      <c r="D278" s="2" t="str">
        <f t="shared" si="15"/>
        <v>Friday</v>
      </c>
      <c r="E278" s="4">
        <v>46115</v>
      </c>
      <c r="H278" s="3" t="str">
        <f>IF(OR(Table1[[#This Row],[US Holiday]]&lt;&gt;"", Table1[[#This Row],[India Holiday]]&lt;&gt;""), "Yes", "No")</f>
        <v>No</v>
      </c>
      <c r="I278" s="2">
        <f>IF(
  AND(
    WORKDAY(E278-1,1)=E278,
    _xlfn.CONCAT(F278:G278)=""
  ),
  _xlfn.MAXIFS(I$2:I277,C$2:C277,C278,B$2:B277,B278)+1,
  ""
)</f>
        <v>3</v>
      </c>
    </row>
    <row r="279" spans="2:9" x14ac:dyDescent="0.25">
      <c r="B279" s="2">
        <f t="shared" si="14"/>
        <v>2026</v>
      </c>
      <c r="C279" s="2" t="str">
        <f t="shared" si="13"/>
        <v>April</v>
      </c>
      <c r="D279" s="2" t="str">
        <f t="shared" si="15"/>
        <v>Saturday</v>
      </c>
      <c r="E279" s="4">
        <v>46116</v>
      </c>
      <c r="H279" s="3" t="str">
        <f>IF(OR(Table1[[#This Row],[US Holiday]]&lt;&gt;"", Table1[[#This Row],[India Holiday]]&lt;&gt;""), "Yes", "No")</f>
        <v>No</v>
      </c>
      <c r="I279" s="2" t="str">
        <f>IF(
  AND(
    WORKDAY(E279-1,1)=E279,
    _xlfn.CONCAT(F279:G279)=""
  ),
  _xlfn.MAXIFS(I$2:I278,C$2:C278,C279,B$2:B278,B279)+1,
  ""
)</f>
        <v/>
      </c>
    </row>
    <row r="280" spans="2:9" x14ac:dyDescent="0.25">
      <c r="B280" s="2">
        <f t="shared" si="14"/>
        <v>2026</v>
      </c>
      <c r="C280" s="2" t="str">
        <f t="shared" si="13"/>
        <v>April</v>
      </c>
      <c r="D280" s="2" t="str">
        <f t="shared" si="15"/>
        <v>Sunday</v>
      </c>
      <c r="E280" s="4">
        <v>46117</v>
      </c>
      <c r="H280" s="3" t="str">
        <f>IF(OR(Table1[[#This Row],[US Holiday]]&lt;&gt;"", Table1[[#This Row],[India Holiday]]&lt;&gt;""), "Yes", "No")</f>
        <v>No</v>
      </c>
      <c r="I280" s="2" t="str">
        <f>IF(
  AND(
    WORKDAY(E280-1,1)=E280,
    _xlfn.CONCAT(F280:G280)=""
  ),
  _xlfn.MAXIFS(I$2:I279,C$2:C279,C280,B$2:B279,B280)+1,
  ""
)</f>
        <v/>
      </c>
    </row>
    <row r="281" spans="2:9" x14ac:dyDescent="0.25">
      <c r="B281" s="2">
        <f t="shared" si="14"/>
        <v>2026</v>
      </c>
      <c r="C281" s="2" t="str">
        <f t="shared" si="13"/>
        <v>April</v>
      </c>
      <c r="D281" s="2" t="str">
        <f t="shared" si="15"/>
        <v>Monday</v>
      </c>
      <c r="E281" s="4">
        <v>46118</v>
      </c>
      <c r="H281" s="3" t="str">
        <f>IF(OR(Table1[[#This Row],[US Holiday]]&lt;&gt;"", Table1[[#This Row],[India Holiday]]&lt;&gt;""), "Yes", "No")</f>
        <v>No</v>
      </c>
      <c r="I281" s="2">
        <f>IF(
  AND(
    WORKDAY(E281-1,1)=E281,
    _xlfn.CONCAT(F281:G281)=""
  ),
  _xlfn.MAXIFS(I$2:I280,C$2:C280,C281,B$2:B280,B281)+1,
  ""
)</f>
        <v>4</v>
      </c>
    </row>
    <row r="282" spans="2:9" x14ac:dyDescent="0.25">
      <c r="B282" s="2">
        <f t="shared" si="14"/>
        <v>2026</v>
      </c>
      <c r="C282" s="2" t="str">
        <f t="shared" si="13"/>
        <v>April</v>
      </c>
      <c r="D282" s="2" t="str">
        <f t="shared" si="15"/>
        <v>Tuesday</v>
      </c>
      <c r="E282" s="4">
        <v>46119</v>
      </c>
      <c r="H282" s="3" t="str">
        <f>IF(OR(Table1[[#This Row],[US Holiday]]&lt;&gt;"", Table1[[#This Row],[India Holiday]]&lt;&gt;""), "Yes", "No")</f>
        <v>No</v>
      </c>
      <c r="I282" s="2">
        <f>IF(
  AND(
    WORKDAY(E282-1,1)=E282,
    _xlfn.CONCAT(F282:G282)=""
  ),
  _xlfn.MAXIFS(I$2:I281,C$2:C281,C282,B$2:B281,B282)+1,
  ""
)</f>
        <v>5</v>
      </c>
    </row>
    <row r="283" spans="2:9" x14ac:dyDescent="0.25">
      <c r="B283" s="2">
        <f t="shared" si="14"/>
        <v>2026</v>
      </c>
      <c r="C283" s="2" t="str">
        <f t="shared" si="13"/>
        <v>April</v>
      </c>
      <c r="D283" s="2" t="str">
        <f t="shared" si="15"/>
        <v>Wednesday</v>
      </c>
      <c r="E283" s="4">
        <v>46120</v>
      </c>
      <c r="H283" s="3" t="str">
        <f>IF(OR(Table1[[#This Row],[US Holiday]]&lt;&gt;"", Table1[[#This Row],[India Holiday]]&lt;&gt;""), "Yes", "No")</f>
        <v>No</v>
      </c>
      <c r="I283" s="2">
        <f>IF(
  AND(
    WORKDAY(E283-1,1)=E283,
    _xlfn.CONCAT(F283:G283)=""
  ),
  _xlfn.MAXIFS(I$2:I282,C$2:C282,C283,B$2:B282,B283)+1,
  ""
)</f>
        <v>6</v>
      </c>
    </row>
    <row r="284" spans="2:9" x14ac:dyDescent="0.25">
      <c r="B284" s="2">
        <f t="shared" si="14"/>
        <v>2026</v>
      </c>
      <c r="C284" s="2" t="str">
        <f t="shared" si="13"/>
        <v>April</v>
      </c>
      <c r="D284" s="2" t="str">
        <f t="shared" si="15"/>
        <v>Thursday</v>
      </c>
      <c r="E284" s="4">
        <v>46121</v>
      </c>
      <c r="H284" s="3" t="str">
        <f>IF(OR(Table1[[#This Row],[US Holiday]]&lt;&gt;"", Table1[[#This Row],[India Holiday]]&lt;&gt;""), "Yes", "No")</f>
        <v>No</v>
      </c>
      <c r="I284" s="2">
        <f>IF(
  AND(
    WORKDAY(E284-1,1)=E284,
    _xlfn.CONCAT(F284:G284)=""
  ),
  _xlfn.MAXIFS(I$2:I283,C$2:C283,C284,B$2:B283,B284)+1,
  ""
)</f>
        <v>7</v>
      </c>
    </row>
    <row r="285" spans="2:9" x14ac:dyDescent="0.25">
      <c r="B285" s="2">
        <f t="shared" si="14"/>
        <v>2026</v>
      </c>
      <c r="C285" s="2" t="str">
        <f t="shared" si="13"/>
        <v>April</v>
      </c>
      <c r="D285" s="2" t="str">
        <f t="shared" si="15"/>
        <v>Friday</v>
      </c>
      <c r="E285" s="4">
        <v>46122</v>
      </c>
      <c r="H285" s="3" t="str">
        <f>IF(OR(Table1[[#This Row],[US Holiday]]&lt;&gt;"", Table1[[#This Row],[India Holiday]]&lt;&gt;""), "Yes", "No")</f>
        <v>No</v>
      </c>
      <c r="I285" s="2">
        <f>IF(
  AND(
    WORKDAY(E285-1,1)=E285,
    _xlfn.CONCAT(F285:G285)=""
  ),
  _xlfn.MAXIFS(I$2:I284,C$2:C284,C285,B$2:B284,B285)+1,
  ""
)</f>
        <v>8</v>
      </c>
    </row>
    <row r="286" spans="2:9" x14ac:dyDescent="0.25">
      <c r="B286" s="2">
        <f t="shared" si="14"/>
        <v>2026</v>
      </c>
      <c r="C286" s="2" t="str">
        <f t="shared" si="13"/>
        <v>April</v>
      </c>
      <c r="D286" s="2" t="str">
        <f t="shared" si="15"/>
        <v>Saturday</v>
      </c>
      <c r="E286" s="4">
        <v>46123</v>
      </c>
      <c r="H286" s="3" t="str">
        <f>IF(OR(Table1[[#This Row],[US Holiday]]&lt;&gt;"", Table1[[#This Row],[India Holiday]]&lt;&gt;""), "Yes", "No")</f>
        <v>No</v>
      </c>
      <c r="I286" s="2" t="str">
        <f>IF(
  AND(
    WORKDAY(E286-1,1)=E286,
    _xlfn.CONCAT(F286:G286)=""
  ),
  _xlfn.MAXIFS(I$2:I285,C$2:C285,C286,B$2:B285,B286)+1,
  ""
)</f>
        <v/>
      </c>
    </row>
    <row r="287" spans="2:9" x14ac:dyDescent="0.25">
      <c r="B287" s="2">
        <f t="shared" si="14"/>
        <v>2026</v>
      </c>
      <c r="C287" s="2" t="str">
        <f t="shared" si="13"/>
        <v>April</v>
      </c>
      <c r="D287" s="2" t="str">
        <f t="shared" si="15"/>
        <v>Sunday</v>
      </c>
      <c r="E287" s="4">
        <v>46124</v>
      </c>
      <c r="H287" s="3" t="str">
        <f>IF(OR(Table1[[#This Row],[US Holiday]]&lt;&gt;"", Table1[[#This Row],[India Holiday]]&lt;&gt;""), "Yes", "No")</f>
        <v>No</v>
      </c>
      <c r="I287" s="2" t="str">
        <f>IF(
  AND(
    WORKDAY(E287-1,1)=E287,
    _xlfn.CONCAT(F287:G287)=""
  ),
  _xlfn.MAXIFS(I$2:I286,C$2:C286,C287,B$2:B286,B287)+1,
  ""
)</f>
        <v/>
      </c>
    </row>
    <row r="288" spans="2:9" x14ac:dyDescent="0.25">
      <c r="B288" s="2">
        <f t="shared" si="14"/>
        <v>2026</v>
      </c>
      <c r="C288" s="2" t="str">
        <f t="shared" si="13"/>
        <v>April</v>
      </c>
      <c r="D288" s="2" t="str">
        <f t="shared" si="15"/>
        <v>Monday</v>
      </c>
      <c r="E288" s="4">
        <v>46125</v>
      </c>
      <c r="H288" s="3" t="str">
        <f>IF(OR(Table1[[#This Row],[US Holiday]]&lt;&gt;"", Table1[[#This Row],[India Holiday]]&lt;&gt;""), "Yes", "No")</f>
        <v>No</v>
      </c>
      <c r="I288" s="2">
        <f>IF(
  AND(
    WORKDAY(E288-1,1)=E288,
    _xlfn.CONCAT(F288:G288)=""
  ),
  _xlfn.MAXIFS(I$2:I287,C$2:C287,C288,B$2:B287,B288)+1,
  ""
)</f>
        <v>9</v>
      </c>
    </row>
    <row r="289" spans="2:9" x14ac:dyDescent="0.25">
      <c r="B289" s="2">
        <f t="shared" si="14"/>
        <v>2026</v>
      </c>
      <c r="C289" s="2" t="str">
        <f t="shared" si="13"/>
        <v>April</v>
      </c>
      <c r="D289" s="2" t="str">
        <f t="shared" si="15"/>
        <v>Tuesday</v>
      </c>
      <c r="E289" s="4">
        <v>46126</v>
      </c>
      <c r="H289" s="3" t="str">
        <f>IF(OR(Table1[[#This Row],[US Holiday]]&lt;&gt;"", Table1[[#This Row],[India Holiday]]&lt;&gt;""), "Yes", "No")</f>
        <v>No</v>
      </c>
      <c r="I289" s="2">
        <f>IF(
  AND(
    WORKDAY(E289-1,1)=E289,
    _xlfn.CONCAT(F289:G289)=""
  ),
  _xlfn.MAXIFS(I$2:I288,C$2:C288,C289,B$2:B288,B289)+1,
  ""
)</f>
        <v>10</v>
      </c>
    </row>
    <row r="290" spans="2:9" x14ac:dyDescent="0.25">
      <c r="B290" s="2">
        <f t="shared" si="14"/>
        <v>2026</v>
      </c>
      <c r="C290" s="2" t="str">
        <f t="shared" si="13"/>
        <v>April</v>
      </c>
      <c r="D290" s="2" t="str">
        <f t="shared" si="15"/>
        <v>Wednesday</v>
      </c>
      <c r="E290" s="4">
        <v>46127</v>
      </c>
      <c r="H290" s="3" t="str">
        <f>IF(OR(Table1[[#This Row],[US Holiday]]&lt;&gt;"", Table1[[#This Row],[India Holiday]]&lt;&gt;""), "Yes", "No")</f>
        <v>No</v>
      </c>
      <c r="I290" s="2">
        <f>IF(
  AND(
    WORKDAY(E290-1,1)=E290,
    _xlfn.CONCAT(F290:G290)=""
  ),
  _xlfn.MAXIFS(I$2:I289,C$2:C289,C290,B$2:B289,B290)+1,
  ""
)</f>
        <v>11</v>
      </c>
    </row>
    <row r="291" spans="2:9" x14ac:dyDescent="0.25">
      <c r="B291" s="2">
        <f t="shared" si="14"/>
        <v>2026</v>
      </c>
      <c r="C291" s="2" t="str">
        <f t="shared" si="13"/>
        <v>April</v>
      </c>
      <c r="D291" s="2" t="str">
        <f t="shared" si="15"/>
        <v>Thursday</v>
      </c>
      <c r="E291" s="4">
        <v>46128</v>
      </c>
      <c r="H291" s="3" t="str">
        <f>IF(OR(Table1[[#This Row],[US Holiday]]&lt;&gt;"", Table1[[#This Row],[India Holiday]]&lt;&gt;""), "Yes", "No")</f>
        <v>No</v>
      </c>
      <c r="I291" s="2">
        <f>IF(
  AND(
    WORKDAY(E291-1,1)=E291,
    _xlfn.CONCAT(F291:G291)=""
  ),
  _xlfn.MAXIFS(I$2:I290,C$2:C290,C291,B$2:B290,B291)+1,
  ""
)</f>
        <v>12</v>
      </c>
    </row>
    <row r="292" spans="2:9" x14ac:dyDescent="0.25">
      <c r="B292" s="2">
        <f t="shared" si="14"/>
        <v>2026</v>
      </c>
      <c r="C292" s="2" t="str">
        <f t="shared" si="13"/>
        <v>April</v>
      </c>
      <c r="D292" s="2" t="str">
        <f t="shared" si="15"/>
        <v>Friday</v>
      </c>
      <c r="E292" s="4">
        <v>46129</v>
      </c>
      <c r="H292" s="3" t="str">
        <f>IF(OR(Table1[[#This Row],[US Holiday]]&lt;&gt;"", Table1[[#This Row],[India Holiday]]&lt;&gt;""), "Yes", "No")</f>
        <v>No</v>
      </c>
      <c r="I292" s="2">
        <f>IF(
  AND(
    WORKDAY(E292-1,1)=E292,
    _xlfn.CONCAT(F292:G292)=""
  ),
  _xlfn.MAXIFS(I$2:I291,C$2:C291,C292,B$2:B291,B292)+1,
  ""
)</f>
        <v>13</v>
      </c>
    </row>
    <row r="293" spans="2:9" x14ac:dyDescent="0.25">
      <c r="B293" s="2">
        <f t="shared" si="14"/>
        <v>2026</v>
      </c>
      <c r="C293" s="2" t="str">
        <f t="shared" si="13"/>
        <v>April</v>
      </c>
      <c r="D293" s="2" t="str">
        <f t="shared" si="15"/>
        <v>Saturday</v>
      </c>
      <c r="E293" s="4">
        <v>46130</v>
      </c>
      <c r="H293" s="3" t="str">
        <f>IF(OR(Table1[[#This Row],[US Holiday]]&lt;&gt;"", Table1[[#This Row],[India Holiday]]&lt;&gt;""), "Yes", "No")</f>
        <v>No</v>
      </c>
      <c r="I293" s="2" t="str">
        <f>IF(
  AND(
    WORKDAY(E293-1,1)=E293,
    _xlfn.CONCAT(F293:G293)=""
  ),
  _xlfn.MAXIFS(I$2:I292,C$2:C292,C293,B$2:B292,B293)+1,
  ""
)</f>
        <v/>
      </c>
    </row>
    <row r="294" spans="2:9" x14ac:dyDescent="0.25">
      <c r="B294" s="2">
        <f t="shared" si="14"/>
        <v>2026</v>
      </c>
      <c r="C294" s="2" t="str">
        <f t="shared" si="13"/>
        <v>April</v>
      </c>
      <c r="D294" s="2" t="str">
        <f t="shared" si="15"/>
        <v>Sunday</v>
      </c>
      <c r="E294" s="4">
        <v>46131</v>
      </c>
      <c r="H294" s="3" t="str">
        <f>IF(OR(Table1[[#This Row],[US Holiday]]&lt;&gt;"", Table1[[#This Row],[India Holiday]]&lt;&gt;""), "Yes", "No")</f>
        <v>No</v>
      </c>
      <c r="I294" s="2" t="str">
        <f>IF(
  AND(
    WORKDAY(E294-1,1)=E294,
    _xlfn.CONCAT(F294:G294)=""
  ),
  _xlfn.MAXIFS(I$2:I293,C$2:C293,C294,B$2:B293,B294)+1,
  ""
)</f>
        <v/>
      </c>
    </row>
    <row r="295" spans="2:9" x14ac:dyDescent="0.25">
      <c r="B295" s="2">
        <f t="shared" si="14"/>
        <v>2026</v>
      </c>
      <c r="C295" s="2" t="str">
        <f t="shared" si="13"/>
        <v>April</v>
      </c>
      <c r="D295" s="2" t="str">
        <f t="shared" si="15"/>
        <v>Monday</v>
      </c>
      <c r="E295" s="4">
        <v>46132</v>
      </c>
      <c r="H295" s="3" t="str">
        <f>IF(OR(Table1[[#This Row],[US Holiday]]&lt;&gt;"", Table1[[#This Row],[India Holiday]]&lt;&gt;""), "Yes", "No")</f>
        <v>No</v>
      </c>
      <c r="I295" s="2">
        <f>IF(
  AND(
    WORKDAY(E295-1,1)=E295,
    _xlfn.CONCAT(F295:G295)=""
  ),
  _xlfn.MAXIFS(I$2:I294,C$2:C294,C295,B$2:B294,B295)+1,
  ""
)</f>
        <v>14</v>
      </c>
    </row>
    <row r="296" spans="2:9" x14ac:dyDescent="0.25">
      <c r="B296" s="2">
        <f t="shared" si="14"/>
        <v>2026</v>
      </c>
      <c r="C296" s="2" t="str">
        <f t="shared" si="13"/>
        <v>April</v>
      </c>
      <c r="D296" s="2" t="str">
        <f t="shared" si="15"/>
        <v>Tuesday</v>
      </c>
      <c r="E296" s="4">
        <v>46133</v>
      </c>
      <c r="H296" s="3" t="str">
        <f>IF(OR(Table1[[#This Row],[US Holiday]]&lt;&gt;"", Table1[[#This Row],[India Holiday]]&lt;&gt;""), "Yes", "No")</f>
        <v>No</v>
      </c>
      <c r="I296" s="2">
        <f>IF(
  AND(
    WORKDAY(E296-1,1)=E296,
    _xlfn.CONCAT(F296:G296)=""
  ),
  _xlfn.MAXIFS(I$2:I295,C$2:C295,C296,B$2:B295,B296)+1,
  ""
)</f>
        <v>15</v>
      </c>
    </row>
    <row r="297" spans="2:9" x14ac:dyDescent="0.25">
      <c r="B297" s="2">
        <f t="shared" si="14"/>
        <v>2026</v>
      </c>
      <c r="C297" s="2" t="str">
        <f t="shared" si="13"/>
        <v>April</v>
      </c>
      <c r="D297" s="2" t="str">
        <f t="shared" si="15"/>
        <v>Wednesday</v>
      </c>
      <c r="E297" s="4">
        <v>46134</v>
      </c>
      <c r="H297" s="3" t="str">
        <f>IF(OR(Table1[[#This Row],[US Holiday]]&lt;&gt;"", Table1[[#This Row],[India Holiday]]&lt;&gt;""), "Yes", "No")</f>
        <v>No</v>
      </c>
      <c r="I297" s="2">
        <f>IF(
  AND(
    WORKDAY(E297-1,1)=E297,
    _xlfn.CONCAT(F297:G297)=""
  ),
  _xlfn.MAXIFS(I$2:I296,C$2:C296,C297,B$2:B296,B297)+1,
  ""
)</f>
        <v>16</v>
      </c>
    </row>
    <row r="298" spans="2:9" x14ac:dyDescent="0.25">
      <c r="B298" s="2">
        <f t="shared" si="14"/>
        <v>2026</v>
      </c>
      <c r="C298" s="2" t="str">
        <f t="shared" si="13"/>
        <v>April</v>
      </c>
      <c r="D298" s="2" t="str">
        <f t="shared" si="15"/>
        <v>Thursday</v>
      </c>
      <c r="E298" s="4">
        <v>46135</v>
      </c>
      <c r="H298" s="3" t="str">
        <f>IF(OR(Table1[[#This Row],[US Holiday]]&lt;&gt;"", Table1[[#This Row],[India Holiday]]&lt;&gt;""), "Yes", "No")</f>
        <v>No</v>
      </c>
      <c r="I298" s="2">
        <f>IF(
  AND(
    WORKDAY(E298-1,1)=E298,
    _xlfn.CONCAT(F298:G298)=""
  ),
  _xlfn.MAXIFS(I$2:I297,C$2:C297,C298,B$2:B297,B298)+1,
  ""
)</f>
        <v>17</v>
      </c>
    </row>
    <row r="299" spans="2:9" x14ac:dyDescent="0.25">
      <c r="B299" s="2">
        <f t="shared" si="14"/>
        <v>2026</v>
      </c>
      <c r="C299" s="2" t="str">
        <f t="shared" si="13"/>
        <v>April</v>
      </c>
      <c r="D299" s="2" t="str">
        <f t="shared" si="15"/>
        <v>Friday</v>
      </c>
      <c r="E299" s="4">
        <v>46136</v>
      </c>
      <c r="H299" s="3" t="str">
        <f>IF(OR(Table1[[#This Row],[US Holiday]]&lt;&gt;"", Table1[[#This Row],[India Holiday]]&lt;&gt;""), "Yes", "No")</f>
        <v>No</v>
      </c>
      <c r="I299" s="2">
        <f>IF(
  AND(
    WORKDAY(E299-1,1)=E299,
    _xlfn.CONCAT(F299:G299)=""
  ),
  _xlfn.MAXIFS(I$2:I298,C$2:C298,C299,B$2:B298,B299)+1,
  ""
)</f>
        <v>18</v>
      </c>
    </row>
    <row r="300" spans="2:9" x14ac:dyDescent="0.25">
      <c r="B300" s="2">
        <f t="shared" si="14"/>
        <v>2026</v>
      </c>
      <c r="C300" s="2" t="str">
        <f t="shared" si="13"/>
        <v>April</v>
      </c>
      <c r="D300" s="2" t="str">
        <f t="shared" si="15"/>
        <v>Saturday</v>
      </c>
      <c r="E300" s="4">
        <v>46137</v>
      </c>
      <c r="H300" s="3" t="str">
        <f>IF(OR(Table1[[#This Row],[US Holiday]]&lt;&gt;"", Table1[[#This Row],[India Holiday]]&lt;&gt;""), "Yes", "No")</f>
        <v>No</v>
      </c>
      <c r="I300" s="2" t="str">
        <f>IF(
  AND(
    WORKDAY(E300-1,1)=E300,
    _xlfn.CONCAT(F300:G300)=""
  ),
  _xlfn.MAXIFS(I$2:I299,C$2:C299,C300,B$2:B299,B300)+1,
  ""
)</f>
        <v/>
      </c>
    </row>
    <row r="301" spans="2:9" x14ac:dyDescent="0.25">
      <c r="B301" s="2">
        <f t="shared" si="14"/>
        <v>2026</v>
      </c>
      <c r="C301" s="2" t="str">
        <f t="shared" si="13"/>
        <v>April</v>
      </c>
      <c r="D301" s="2" t="str">
        <f t="shared" si="15"/>
        <v>Sunday</v>
      </c>
      <c r="E301" s="4">
        <v>46138</v>
      </c>
      <c r="H301" s="3" t="str">
        <f>IF(OR(Table1[[#This Row],[US Holiday]]&lt;&gt;"", Table1[[#This Row],[India Holiday]]&lt;&gt;""), "Yes", "No")</f>
        <v>No</v>
      </c>
      <c r="I301" s="2" t="str">
        <f>IF(
  AND(
    WORKDAY(E301-1,1)=E301,
    _xlfn.CONCAT(F301:G301)=""
  ),
  _xlfn.MAXIFS(I$2:I300,C$2:C300,C301,B$2:B300,B301)+1,
  ""
)</f>
        <v/>
      </c>
    </row>
    <row r="302" spans="2:9" x14ac:dyDescent="0.25">
      <c r="B302" s="2">
        <f t="shared" si="14"/>
        <v>2026</v>
      </c>
      <c r="C302" s="2" t="str">
        <f t="shared" si="13"/>
        <v>April</v>
      </c>
      <c r="D302" s="2" t="str">
        <f t="shared" si="15"/>
        <v>Monday</v>
      </c>
      <c r="E302" s="4">
        <v>46139</v>
      </c>
      <c r="H302" s="3" t="str">
        <f>IF(OR(Table1[[#This Row],[US Holiday]]&lt;&gt;"", Table1[[#This Row],[India Holiday]]&lt;&gt;""), "Yes", "No")</f>
        <v>No</v>
      </c>
      <c r="I302" s="2">
        <f>IF(
  AND(
    WORKDAY(E302-1,1)=E302,
    _xlfn.CONCAT(F302:G302)=""
  ),
  _xlfn.MAXIFS(I$2:I301,C$2:C301,C302,B$2:B301,B302)+1,
  ""
)</f>
        <v>19</v>
      </c>
    </row>
    <row r="303" spans="2:9" x14ac:dyDescent="0.25">
      <c r="B303" s="2">
        <f t="shared" si="14"/>
        <v>2026</v>
      </c>
      <c r="C303" s="2" t="str">
        <f t="shared" si="13"/>
        <v>April</v>
      </c>
      <c r="D303" s="2" t="str">
        <f t="shared" si="15"/>
        <v>Tuesday</v>
      </c>
      <c r="E303" s="4">
        <v>46140</v>
      </c>
      <c r="H303" s="3" t="str">
        <f>IF(OR(Table1[[#This Row],[US Holiday]]&lt;&gt;"", Table1[[#This Row],[India Holiday]]&lt;&gt;""), "Yes", "No")</f>
        <v>No</v>
      </c>
      <c r="I303" s="2">
        <f>IF(
  AND(
    WORKDAY(E303-1,1)=E303,
    _xlfn.CONCAT(F303:G303)=""
  ),
  _xlfn.MAXIFS(I$2:I302,C$2:C302,C303,B$2:B302,B303)+1,
  ""
)</f>
        <v>20</v>
      </c>
    </row>
    <row r="304" spans="2:9" x14ac:dyDescent="0.25">
      <c r="B304" s="2">
        <f t="shared" si="14"/>
        <v>2026</v>
      </c>
      <c r="C304" s="2" t="str">
        <f t="shared" si="13"/>
        <v>April</v>
      </c>
      <c r="D304" s="2" t="str">
        <f t="shared" si="15"/>
        <v>Wednesday</v>
      </c>
      <c r="E304" s="4">
        <v>46141</v>
      </c>
      <c r="H304" s="3" t="str">
        <f>IF(OR(Table1[[#This Row],[US Holiday]]&lt;&gt;"", Table1[[#This Row],[India Holiday]]&lt;&gt;""), "Yes", "No")</f>
        <v>No</v>
      </c>
      <c r="I304" s="2">
        <f>IF(
  AND(
    WORKDAY(E304-1,1)=E304,
    _xlfn.CONCAT(F304:G304)=""
  ),
  _xlfn.MAXIFS(I$2:I303,C$2:C303,C304,B$2:B303,B304)+1,
  ""
)</f>
        <v>21</v>
      </c>
    </row>
    <row r="305" spans="2:9" x14ac:dyDescent="0.25">
      <c r="B305" s="2">
        <f t="shared" si="14"/>
        <v>2026</v>
      </c>
      <c r="C305" s="2" t="str">
        <f t="shared" si="13"/>
        <v>April</v>
      </c>
      <c r="D305" s="2" t="str">
        <f t="shared" si="15"/>
        <v>Thursday</v>
      </c>
      <c r="E305" s="4">
        <v>46142</v>
      </c>
      <c r="H305" s="3" t="str">
        <f>IF(OR(Table1[[#This Row],[US Holiday]]&lt;&gt;"", Table1[[#This Row],[India Holiday]]&lt;&gt;""), "Yes", "No")</f>
        <v>No</v>
      </c>
      <c r="I305" s="2">
        <f>IF(
  AND(
    WORKDAY(E305-1,1)=E305,
    _xlfn.CONCAT(F305:G305)=""
  ),
  _xlfn.MAXIFS(I$2:I304,C$2:C304,C305,B$2:B304,B305)+1,
  ""
)</f>
        <v>22</v>
      </c>
    </row>
    <row r="306" spans="2:9" x14ac:dyDescent="0.25">
      <c r="B306" s="2">
        <f t="shared" si="14"/>
        <v>2026</v>
      </c>
      <c r="C306" s="2" t="str">
        <f t="shared" si="13"/>
        <v>May</v>
      </c>
      <c r="D306" s="2" t="str">
        <f t="shared" si="15"/>
        <v>Friday</v>
      </c>
      <c r="E306" s="4">
        <v>46143</v>
      </c>
      <c r="H306" s="3" t="str">
        <f>IF(OR(Table1[[#This Row],[US Holiday]]&lt;&gt;"", Table1[[#This Row],[India Holiday]]&lt;&gt;""), "Yes", "No")</f>
        <v>No</v>
      </c>
      <c r="I306" s="2">
        <f>IF(
  AND(
    WORKDAY(E306-1,1)=E306,
    _xlfn.CONCAT(F306:G306)=""
  ),
  _xlfn.MAXIFS(I$2:I305,C$2:C305,C306,B$2:B305,B306)+1,
  ""
)</f>
        <v>1</v>
      </c>
    </row>
    <row r="307" spans="2:9" x14ac:dyDescent="0.25">
      <c r="B307" s="2">
        <f t="shared" si="14"/>
        <v>2026</v>
      </c>
      <c r="C307" s="2" t="str">
        <f t="shared" si="13"/>
        <v>May</v>
      </c>
      <c r="D307" s="2" t="str">
        <f t="shared" si="15"/>
        <v>Saturday</v>
      </c>
      <c r="E307" s="4">
        <v>46144</v>
      </c>
      <c r="H307" s="3" t="str">
        <f>IF(OR(Table1[[#This Row],[US Holiday]]&lt;&gt;"", Table1[[#This Row],[India Holiday]]&lt;&gt;""), "Yes", "No")</f>
        <v>No</v>
      </c>
      <c r="I307" s="2" t="str">
        <f>IF(
  AND(
    WORKDAY(E307-1,1)=E307,
    _xlfn.CONCAT(F307:G307)=""
  ),
  _xlfn.MAXIFS(I$2:I306,C$2:C306,C307,B$2:B306,B307)+1,
  ""
)</f>
        <v/>
      </c>
    </row>
    <row r="308" spans="2:9" x14ac:dyDescent="0.25">
      <c r="B308" s="2">
        <f t="shared" si="14"/>
        <v>2026</v>
      </c>
      <c r="C308" s="2" t="str">
        <f t="shared" si="13"/>
        <v>May</v>
      </c>
      <c r="D308" s="2" t="str">
        <f t="shared" si="15"/>
        <v>Sunday</v>
      </c>
      <c r="E308" s="4">
        <v>46145</v>
      </c>
      <c r="H308" s="3" t="str">
        <f>IF(OR(Table1[[#This Row],[US Holiday]]&lt;&gt;"", Table1[[#This Row],[India Holiday]]&lt;&gt;""), "Yes", "No")</f>
        <v>No</v>
      </c>
      <c r="I308" s="2" t="str">
        <f>IF(
  AND(
    WORKDAY(E308-1,1)=E308,
    _xlfn.CONCAT(F308:G308)=""
  ),
  _xlfn.MAXIFS(I$2:I307,C$2:C307,C308,B$2:B307,B308)+1,
  ""
)</f>
        <v/>
      </c>
    </row>
    <row r="309" spans="2:9" x14ac:dyDescent="0.25">
      <c r="B309" s="2">
        <f t="shared" si="14"/>
        <v>2026</v>
      </c>
      <c r="C309" s="2" t="str">
        <f t="shared" si="13"/>
        <v>May</v>
      </c>
      <c r="D309" s="2" t="str">
        <f t="shared" si="15"/>
        <v>Monday</v>
      </c>
      <c r="E309" s="4">
        <v>46146</v>
      </c>
      <c r="H309" s="3" t="str">
        <f>IF(OR(Table1[[#This Row],[US Holiday]]&lt;&gt;"", Table1[[#This Row],[India Holiday]]&lt;&gt;""), "Yes", "No")</f>
        <v>No</v>
      </c>
      <c r="I309" s="2">
        <f>IF(
  AND(
    WORKDAY(E309-1,1)=E309,
    _xlfn.CONCAT(F309:G309)=""
  ),
  _xlfn.MAXIFS(I$2:I308,C$2:C308,C309,B$2:B308,B309)+1,
  ""
)</f>
        <v>2</v>
      </c>
    </row>
    <row r="310" spans="2:9" x14ac:dyDescent="0.25">
      <c r="B310" s="2">
        <f t="shared" si="14"/>
        <v>2026</v>
      </c>
      <c r="C310" s="2" t="str">
        <f t="shared" si="13"/>
        <v>May</v>
      </c>
      <c r="D310" s="2" t="str">
        <f t="shared" si="15"/>
        <v>Tuesday</v>
      </c>
      <c r="E310" s="4">
        <v>46147</v>
      </c>
      <c r="H310" s="3" t="str">
        <f>IF(OR(Table1[[#This Row],[US Holiday]]&lt;&gt;"", Table1[[#This Row],[India Holiday]]&lt;&gt;""), "Yes", "No")</f>
        <v>No</v>
      </c>
      <c r="I310" s="2">
        <f>IF(
  AND(
    WORKDAY(E310-1,1)=E310,
    _xlfn.CONCAT(F310:G310)=""
  ),
  _xlfn.MAXIFS(I$2:I309,C$2:C309,C310,B$2:B309,B310)+1,
  ""
)</f>
        <v>3</v>
      </c>
    </row>
    <row r="311" spans="2:9" x14ac:dyDescent="0.25">
      <c r="B311" s="2">
        <f t="shared" si="14"/>
        <v>2026</v>
      </c>
      <c r="C311" s="2" t="str">
        <f t="shared" si="13"/>
        <v>May</v>
      </c>
      <c r="D311" s="2" t="str">
        <f t="shared" si="15"/>
        <v>Wednesday</v>
      </c>
      <c r="E311" s="4">
        <v>46148</v>
      </c>
      <c r="H311" s="3" t="str">
        <f>IF(OR(Table1[[#This Row],[US Holiday]]&lt;&gt;"", Table1[[#This Row],[India Holiday]]&lt;&gt;""), "Yes", "No")</f>
        <v>No</v>
      </c>
      <c r="I311" s="2">
        <f>IF(
  AND(
    WORKDAY(E311-1,1)=E311,
    _xlfn.CONCAT(F311:G311)=""
  ),
  _xlfn.MAXIFS(I$2:I310,C$2:C310,C311,B$2:B310,B311)+1,
  ""
)</f>
        <v>4</v>
      </c>
    </row>
    <row r="312" spans="2:9" x14ac:dyDescent="0.25">
      <c r="B312" s="2">
        <f t="shared" si="14"/>
        <v>2026</v>
      </c>
      <c r="C312" s="2" t="str">
        <f t="shared" si="13"/>
        <v>May</v>
      </c>
      <c r="D312" s="2" t="str">
        <f t="shared" si="15"/>
        <v>Thursday</v>
      </c>
      <c r="E312" s="4">
        <v>46149</v>
      </c>
      <c r="H312" s="3" t="str">
        <f>IF(OR(Table1[[#This Row],[US Holiday]]&lt;&gt;"", Table1[[#This Row],[India Holiday]]&lt;&gt;""), "Yes", "No")</f>
        <v>No</v>
      </c>
      <c r="I312" s="2">
        <f>IF(
  AND(
    WORKDAY(E312-1,1)=E312,
    _xlfn.CONCAT(F312:G312)=""
  ),
  _xlfn.MAXIFS(I$2:I311,C$2:C311,C312,B$2:B311,B312)+1,
  ""
)</f>
        <v>5</v>
      </c>
    </row>
    <row r="313" spans="2:9" x14ac:dyDescent="0.25">
      <c r="B313" s="2">
        <f t="shared" si="14"/>
        <v>2026</v>
      </c>
      <c r="C313" s="2" t="str">
        <f t="shared" si="13"/>
        <v>May</v>
      </c>
      <c r="D313" s="2" t="str">
        <f t="shared" si="15"/>
        <v>Friday</v>
      </c>
      <c r="E313" s="4">
        <v>46150</v>
      </c>
      <c r="H313" s="3" t="str">
        <f>IF(OR(Table1[[#This Row],[US Holiday]]&lt;&gt;"", Table1[[#This Row],[India Holiday]]&lt;&gt;""), "Yes", "No")</f>
        <v>No</v>
      </c>
      <c r="I313" s="2">
        <f>IF(
  AND(
    WORKDAY(E313-1,1)=E313,
    _xlfn.CONCAT(F313:G313)=""
  ),
  _xlfn.MAXIFS(I$2:I312,C$2:C312,C313,B$2:B312,B313)+1,
  ""
)</f>
        <v>6</v>
      </c>
    </row>
    <row r="314" spans="2:9" x14ac:dyDescent="0.25">
      <c r="B314" s="2">
        <f t="shared" si="14"/>
        <v>2026</v>
      </c>
      <c r="C314" s="2" t="str">
        <f t="shared" si="13"/>
        <v>May</v>
      </c>
      <c r="D314" s="2" t="str">
        <f t="shared" si="15"/>
        <v>Saturday</v>
      </c>
      <c r="E314" s="4">
        <v>46151</v>
      </c>
      <c r="H314" s="3" t="str">
        <f>IF(OR(Table1[[#This Row],[US Holiday]]&lt;&gt;"", Table1[[#This Row],[India Holiday]]&lt;&gt;""), "Yes", "No")</f>
        <v>No</v>
      </c>
      <c r="I314" s="2" t="str">
        <f>IF(
  AND(
    WORKDAY(E314-1,1)=E314,
    _xlfn.CONCAT(F314:G314)=""
  ),
  _xlfn.MAXIFS(I$2:I313,C$2:C313,C314,B$2:B313,B314)+1,
  ""
)</f>
        <v/>
      </c>
    </row>
    <row r="315" spans="2:9" x14ac:dyDescent="0.25">
      <c r="B315" s="2">
        <f t="shared" si="14"/>
        <v>2026</v>
      </c>
      <c r="C315" s="2" t="str">
        <f t="shared" si="13"/>
        <v>May</v>
      </c>
      <c r="D315" s="2" t="str">
        <f t="shared" si="15"/>
        <v>Sunday</v>
      </c>
      <c r="E315" s="4">
        <v>46152</v>
      </c>
      <c r="H315" s="3" t="str">
        <f>IF(OR(Table1[[#This Row],[US Holiday]]&lt;&gt;"", Table1[[#This Row],[India Holiday]]&lt;&gt;""), "Yes", "No")</f>
        <v>No</v>
      </c>
      <c r="I315" s="2" t="str">
        <f>IF(
  AND(
    WORKDAY(E315-1,1)=E315,
    _xlfn.CONCAT(F315:G315)=""
  ),
  _xlfn.MAXIFS(I$2:I314,C$2:C314,C315,B$2:B314,B315)+1,
  ""
)</f>
        <v/>
      </c>
    </row>
    <row r="316" spans="2:9" x14ac:dyDescent="0.25">
      <c r="B316" s="2">
        <f t="shared" si="14"/>
        <v>2026</v>
      </c>
      <c r="C316" s="2" t="str">
        <f t="shared" si="13"/>
        <v>May</v>
      </c>
      <c r="D316" s="2" t="str">
        <f t="shared" si="15"/>
        <v>Monday</v>
      </c>
      <c r="E316" s="4">
        <v>46153</v>
      </c>
      <c r="H316" s="3" t="str">
        <f>IF(OR(Table1[[#This Row],[US Holiday]]&lt;&gt;"", Table1[[#This Row],[India Holiday]]&lt;&gt;""), "Yes", "No")</f>
        <v>No</v>
      </c>
      <c r="I316" s="2">
        <f>IF(
  AND(
    WORKDAY(E316-1,1)=E316,
    _xlfn.CONCAT(F316:G316)=""
  ),
  _xlfn.MAXIFS(I$2:I315,C$2:C315,C316,B$2:B315,B316)+1,
  ""
)</f>
        <v>7</v>
      </c>
    </row>
    <row r="317" spans="2:9" x14ac:dyDescent="0.25">
      <c r="B317" s="2">
        <f t="shared" si="14"/>
        <v>2026</v>
      </c>
      <c r="C317" s="2" t="str">
        <f t="shared" si="13"/>
        <v>May</v>
      </c>
      <c r="D317" s="2" t="str">
        <f t="shared" si="15"/>
        <v>Tuesday</v>
      </c>
      <c r="E317" s="4">
        <v>46154</v>
      </c>
      <c r="H317" s="3" t="str">
        <f>IF(OR(Table1[[#This Row],[US Holiday]]&lt;&gt;"", Table1[[#This Row],[India Holiday]]&lt;&gt;""), "Yes", "No")</f>
        <v>No</v>
      </c>
      <c r="I317" s="2">
        <f>IF(
  AND(
    WORKDAY(E317-1,1)=E317,
    _xlfn.CONCAT(F317:G317)=""
  ),
  _xlfn.MAXIFS(I$2:I316,C$2:C316,C317,B$2:B316,B317)+1,
  ""
)</f>
        <v>8</v>
      </c>
    </row>
    <row r="318" spans="2:9" x14ac:dyDescent="0.25">
      <c r="B318" s="2">
        <f t="shared" si="14"/>
        <v>2026</v>
      </c>
      <c r="C318" s="2" t="str">
        <f t="shared" si="13"/>
        <v>May</v>
      </c>
      <c r="D318" s="2" t="str">
        <f t="shared" si="15"/>
        <v>Wednesday</v>
      </c>
      <c r="E318" s="4">
        <v>46155</v>
      </c>
      <c r="H318" s="3" t="str">
        <f>IF(OR(Table1[[#This Row],[US Holiday]]&lt;&gt;"", Table1[[#This Row],[India Holiday]]&lt;&gt;""), "Yes", "No")</f>
        <v>No</v>
      </c>
      <c r="I318" s="2">
        <f>IF(
  AND(
    WORKDAY(E318-1,1)=E318,
    _xlfn.CONCAT(F318:G318)=""
  ),
  _xlfn.MAXIFS(I$2:I317,C$2:C317,C318,B$2:B317,B318)+1,
  ""
)</f>
        <v>9</v>
      </c>
    </row>
    <row r="319" spans="2:9" x14ac:dyDescent="0.25">
      <c r="B319" s="2">
        <f t="shared" si="14"/>
        <v>2026</v>
      </c>
      <c r="C319" s="2" t="str">
        <f t="shared" si="13"/>
        <v>May</v>
      </c>
      <c r="D319" s="2" t="str">
        <f t="shared" si="15"/>
        <v>Thursday</v>
      </c>
      <c r="E319" s="4">
        <v>46156</v>
      </c>
      <c r="H319" s="3" t="str">
        <f>IF(OR(Table1[[#This Row],[US Holiday]]&lt;&gt;"", Table1[[#This Row],[India Holiday]]&lt;&gt;""), "Yes", "No")</f>
        <v>No</v>
      </c>
      <c r="I319" s="2">
        <f>IF(
  AND(
    WORKDAY(E319-1,1)=E319,
    _xlfn.CONCAT(F319:G319)=""
  ),
  _xlfn.MAXIFS(I$2:I318,C$2:C318,C319,B$2:B318,B319)+1,
  ""
)</f>
        <v>10</v>
      </c>
    </row>
    <row r="320" spans="2:9" x14ac:dyDescent="0.25">
      <c r="B320" s="2">
        <f t="shared" si="14"/>
        <v>2026</v>
      </c>
      <c r="C320" s="2" t="str">
        <f t="shared" si="13"/>
        <v>May</v>
      </c>
      <c r="D320" s="2" t="str">
        <f t="shared" si="15"/>
        <v>Friday</v>
      </c>
      <c r="E320" s="4">
        <v>46157</v>
      </c>
      <c r="H320" s="3" t="str">
        <f>IF(OR(Table1[[#This Row],[US Holiday]]&lt;&gt;"", Table1[[#This Row],[India Holiday]]&lt;&gt;""), "Yes", "No")</f>
        <v>No</v>
      </c>
      <c r="I320" s="2">
        <f>IF(
  AND(
    WORKDAY(E320-1,1)=E320,
    _xlfn.CONCAT(F320:G320)=""
  ),
  _xlfn.MAXIFS(I$2:I319,C$2:C319,C320,B$2:B319,B320)+1,
  ""
)</f>
        <v>11</v>
      </c>
    </row>
    <row r="321" spans="2:9" x14ac:dyDescent="0.25">
      <c r="B321" s="2">
        <f t="shared" si="14"/>
        <v>2026</v>
      </c>
      <c r="C321" s="2" t="str">
        <f t="shared" ref="C321:C384" si="16">TEXT(E321,"mmmm")</f>
        <v>May</v>
      </c>
      <c r="D321" s="2" t="str">
        <f t="shared" si="15"/>
        <v>Saturday</v>
      </c>
      <c r="E321" s="4">
        <v>46158</v>
      </c>
      <c r="H321" s="3" t="str">
        <f>IF(OR(Table1[[#This Row],[US Holiday]]&lt;&gt;"", Table1[[#This Row],[India Holiday]]&lt;&gt;""), "Yes", "No")</f>
        <v>No</v>
      </c>
      <c r="I321" s="2" t="str">
        <f>IF(
  AND(
    WORKDAY(E321-1,1)=E321,
    _xlfn.CONCAT(F321:G321)=""
  ),
  _xlfn.MAXIFS(I$2:I320,C$2:C320,C321,B$2:B320,B321)+1,
  ""
)</f>
        <v/>
      </c>
    </row>
    <row r="322" spans="2:9" x14ac:dyDescent="0.25">
      <c r="B322" s="2">
        <f t="shared" si="14"/>
        <v>2026</v>
      </c>
      <c r="C322" s="2" t="str">
        <f t="shared" si="16"/>
        <v>May</v>
      </c>
      <c r="D322" s="2" t="str">
        <f t="shared" si="15"/>
        <v>Sunday</v>
      </c>
      <c r="E322" s="4">
        <v>46159</v>
      </c>
      <c r="H322" s="3" t="str">
        <f>IF(OR(Table1[[#This Row],[US Holiday]]&lt;&gt;"", Table1[[#This Row],[India Holiday]]&lt;&gt;""), "Yes", "No")</f>
        <v>No</v>
      </c>
      <c r="I322" s="2" t="str">
        <f>IF(
  AND(
    WORKDAY(E322-1,1)=E322,
    _xlfn.CONCAT(F322:G322)=""
  ),
  _xlfn.MAXIFS(I$2:I321,C$2:C321,C322,B$2:B321,B322)+1,
  ""
)</f>
        <v/>
      </c>
    </row>
    <row r="323" spans="2:9" x14ac:dyDescent="0.25">
      <c r="B323" s="2">
        <f t="shared" ref="B323:B386" si="17">YEAR(E323)</f>
        <v>2026</v>
      </c>
      <c r="C323" s="2" t="str">
        <f t="shared" si="16"/>
        <v>May</v>
      </c>
      <c r="D323" s="2" t="str">
        <f t="shared" ref="D323:D386" si="18">TEXT(E323,"dddd")</f>
        <v>Monday</v>
      </c>
      <c r="E323" s="4">
        <v>46160</v>
      </c>
      <c r="H323" s="3" t="str">
        <f>IF(OR(Table1[[#This Row],[US Holiday]]&lt;&gt;"", Table1[[#This Row],[India Holiday]]&lt;&gt;""), "Yes", "No")</f>
        <v>No</v>
      </c>
      <c r="I323" s="2">
        <f>IF(
  AND(
    WORKDAY(E323-1,1)=E323,
    _xlfn.CONCAT(F323:G323)=""
  ),
  _xlfn.MAXIFS(I$2:I322,C$2:C322,C323,B$2:B322,B323)+1,
  ""
)</f>
        <v>12</v>
      </c>
    </row>
    <row r="324" spans="2:9" x14ac:dyDescent="0.25">
      <c r="B324" s="2">
        <f t="shared" si="17"/>
        <v>2026</v>
      </c>
      <c r="C324" s="2" t="str">
        <f t="shared" si="16"/>
        <v>May</v>
      </c>
      <c r="D324" s="2" t="str">
        <f t="shared" si="18"/>
        <v>Tuesday</v>
      </c>
      <c r="E324" s="4">
        <v>46161</v>
      </c>
      <c r="H324" s="3" t="str">
        <f>IF(OR(Table1[[#This Row],[US Holiday]]&lt;&gt;"", Table1[[#This Row],[India Holiday]]&lt;&gt;""), "Yes", "No")</f>
        <v>No</v>
      </c>
      <c r="I324" s="2">
        <f>IF(
  AND(
    WORKDAY(E324-1,1)=E324,
    _xlfn.CONCAT(F324:G324)=""
  ),
  _xlfn.MAXIFS(I$2:I323,C$2:C323,C324,B$2:B323,B324)+1,
  ""
)</f>
        <v>13</v>
      </c>
    </row>
    <row r="325" spans="2:9" x14ac:dyDescent="0.25">
      <c r="B325" s="2">
        <f t="shared" si="17"/>
        <v>2026</v>
      </c>
      <c r="C325" s="2" t="str">
        <f t="shared" si="16"/>
        <v>May</v>
      </c>
      <c r="D325" s="2" t="str">
        <f t="shared" si="18"/>
        <v>Wednesday</v>
      </c>
      <c r="E325" s="4">
        <v>46162</v>
      </c>
      <c r="H325" s="3" t="str">
        <f>IF(OR(Table1[[#This Row],[US Holiday]]&lt;&gt;"", Table1[[#This Row],[India Holiday]]&lt;&gt;""), "Yes", "No")</f>
        <v>No</v>
      </c>
      <c r="I325" s="2">
        <f>IF(
  AND(
    WORKDAY(E325-1,1)=E325,
    _xlfn.CONCAT(F325:G325)=""
  ),
  _xlfn.MAXIFS(I$2:I324,C$2:C324,C325,B$2:B324,B325)+1,
  ""
)</f>
        <v>14</v>
      </c>
    </row>
    <row r="326" spans="2:9" x14ac:dyDescent="0.25">
      <c r="B326" s="2">
        <f t="shared" si="17"/>
        <v>2026</v>
      </c>
      <c r="C326" s="2" t="str">
        <f t="shared" si="16"/>
        <v>May</v>
      </c>
      <c r="D326" s="2" t="str">
        <f t="shared" si="18"/>
        <v>Thursday</v>
      </c>
      <c r="E326" s="4">
        <v>46163</v>
      </c>
      <c r="H326" s="3" t="str">
        <f>IF(OR(Table1[[#This Row],[US Holiday]]&lt;&gt;"", Table1[[#This Row],[India Holiday]]&lt;&gt;""), "Yes", "No")</f>
        <v>No</v>
      </c>
      <c r="I326" s="2">
        <f>IF(
  AND(
    WORKDAY(E326-1,1)=E326,
    _xlfn.CONCAT(F326:G326)=""
  ),
  _xlfn.MAXIFS(I$2:I325,C$2:C325,C326,B$2:B325,B326)+1,
  ""
)</f>
        <v>15</v>
      </c>
    </row>
    <row r="327" spans="2:9" x14ac:dyDescent="0.25">
      <c r="B327" s="2">
        <f t="shared" si="17"/>
        <v>2026</v>
      </c>
      <c r="C327" s="2" t="str">
        <f t="shared" si="16"/>
        <v>May</v>
      </c>
      <c r="D327" s="2" t="str">
        <f t="shared" si="18"/>
        <v>Friday</v>
      </c>
      <c r="E327" s="4">
        <v>46164</v>
      </c>
      <c r="H327" s="3" t="str">
        <f>IF(OR(Table1[[#This Row],[US Holiday]]&lt;&gt;"", Table1[[#This Row],[India Holiday]]&lt;&gt;""), "Yes", "No")</f>
        <v>No</v>
      </c>
      <c r="I327" s="2">
        <f>IF(
  AND(
    WORKDAY(E327-1,1)=E327,
    _xlfn.CONCAT(F327:G327)=""
  ),
  _xlfn.MAXIFS(I$2:I326,C$2:C326,C327,B$2:B326,B327)+1,
  ""
)</f>
        <v>16</v>
      </c>
    </row>
    <row r="328" spans="2:9" x14ac:dyDescent="0.25">
      <c r="B328" s="2">
        <f t="shared" si="17"/>
        <v>2026</v>
      </c>
      <c r="C328" s="2" t="str">
        <f t="shared" si="16"/>
        <v>May</v>
      </c>
      <c r="D328" s="2" t="str">
        <f t="shared" si="18"/>
        <v>Saturday</v>
      </c>
      <c r="E328" s="4">
        <v>46165</v>
      </c>
      <c r="H328" s="3" t="str">
        <f>IF(OR(Table1[[#This Row],[US Holiday]]&lt;&gt;"", Table1[[#This Row],[India Holiday]]&lt;&gt;""), "Yes", "No")</f>
        <v>No</v>
      </c>
      <c r="I328" s="2" t="str">
        <f>IF(
  AND(
    WORKDAY(E328-1,1)=E328,
    _xlfn.CONCAT(F328:G328)=""
  ),
  _xlfn.MAXIFS(I$2:I327,C$2:C327,C328,B$2:B327,B328)+1,
  ""
)</f>
        <v/>
      </c>
    </row>
    <row r="329" spans="2:9" x14ac:dyDescent="0.25">
      <c r="B329" s="2">
        <f t="shared" si="17"/>
        <v>2026</v>
      </c>
      <c r="C329" s="2" t="str">
        <f t="shared" si="16"/>
        <v>May</v>
      </c>
      <c r="D329" s="2" t="str">
        <f t="shared" si="18"/>
        <v>Sunday</v>
      </c>
      <c r="E329" s="4">
        <v>46166</v>
      </c>
      <c r="H329" s="3" t="str">
        <f>IF(OR(Table1[[#This Row],[US Holiday]]&lt;&gt;"", Table1[[#This Row],[India Holiday]]&lt;&gt;""), "Yes", "No")</f>
        <v>No</v>
      </c>
      <c r="I329" s="2" t="str">
        <f>IF(
  AND(
    WORKDAY(E329-1,1)=E329,
    _xlfn.CONCAT(F329:G329)=""
  ),
  _xlfn.MAXIFS(I$2:I328,C$2:C328,C329,B$2:B328,B329)+1,
  ""
)</f>
        <v/>
      </c>
    </row>
    <row r="330" spans="2:9" x14ac:dyDescent="0.25">
      <c r="B330" s="2">
        <f t="shared" si="17"/>
        <v>2026</v>
      </c>
      <c r="C330" s="2" t="str">
        <f t="shared" si="16"/>
        <v>May</v>
      </c>
      <c r="D330" s="2" t="str">
        <f t="shared" si="18"/>
        <v>Monday</v>
      </c>
      <c r="E330" s="4">
        <v>46167</v>
      </c>
      <c r="H330" s="3" t="str">
        <f>IF(OR(Table1[[#This Row],[US Holiday]]&lt;&gt;"", Table1[[#This Row],[India Holiday]]&lt;&gt;""), "Yes", "No")</f>
        <v>No</v>
      </c>
      <c r="I330" s="2">
        <f>IF(
  AND(
    WORKDAY(E330-1,1)=E330,
    _xlfn.CONCAT(F330:G330)=""
  ),
  _xlfn.MAXIFS(I$2:I329,C$2:C329,C330,B$2:B329,B330)+1,
  ""
)</f>
        <v>17</v>
      </c>
    </row>
    <row r="331" spans="2:9" x14ac:dyDescent="0.25">
      <c r="B331" s="2">
        <f t="shared" si="17"/>
        <v>2026</v>
      </c>
      <c r="C331" s="2" t="str">
        <f t="shared" si="16"/>
        <v>May</v>
      </c>
      <c r="D331" s="2" t="str">
        <f t="shared" si="18"/>
        <v>Tuesday</v>
      </c>
      <c r="E331" s="4">
        <v>46168</v>
      </c>
      <c r="H331" s="3" t="str">
        <f>IF(OR(Table1[[#This Row],[US Holiday]]&lt;&gt;"", Table1[[#This Row],[India Holiday]]&lt;&gt;""), "Yes", "No")</f>
        <v>No</v>
      </c>
      <c r="I331" s="2">
        <f>IF(
  AND(
    WORKDAY(E331-1,1)=E331,
    _xlfn.CONCAT(F331:G331)=""
  ),
  _xlfn.MAXIFS(I$2:I330,C$2:C330,C331,B$2:B330,B331)+1,
  ""
)</f>
        <v>18</v>
      </c>
    </row>
    <row r="332" spans="2:9" x14ac:dyDescent="0.25">
      <c r="B332" s="2">
        <f t="shared" si="17"/>
        <v>2026</v>
      </c>
      <c r="C332" s="2" t="str">
        <f t="shared" si="16"/>
        <v>May</v>
      </c>
      <c r="D332" s="2" t="str">
        <f t="shared" si="18"/>
        <v>Wednesday</v>
      </c>
      <c r="E332" s="4">
        <v>46169</v>
      </c>
      <c r="H332" s="3" t="str">
        <f>IF(OR(Table1[[#This Row],[US Holiday]]&lt;&gt;"", Table1[[#This Row],[India Holiday]]&lt;&gt;""), "Yes", "No")</f>
        <v>No</v>
      </c>
      <c r="I332" s="2">
        <f>IF(
  AND(
    WORKDAY(E332-1,1)=E332,
    _xlfn.CONCAT(F332:G332)=""
  ),
  _xlfn.MAXIFS(I$2:I331,C$2:C331,C332,B$2:B331,B332)+1,
  ""
)</f>
        <v>19</v>
      </c>
    </row>
    <row r="333" spans="2:9" x14ac:dyDescent="0.25">
      <c r="B333" s="2">
        <f t="shared" si="17"/>
        <v>2026</v>
      </c>
      <c r="C333" s="2" t="str">
        <f t="shared" si="16"/>
        <v>May</v>
      </c>
      <c r="D333" s="2" t="str">
        <f t="shared" si="18"/>
        <v>Thursday</v>
      </c>
      <c r="E333" s="4">
        <v>46170</v>
      </c>
      <c r="H333" s="3" t="str">
        <f>IF(OR(Table1[[#This Row],[US Holiday]]&lt;&gt;"", Table1[[#This Row],[India Holiday]]&lt;&gt;""), "Yes", "No")</f>
        <v>No</v>
      </c>
      <c r="I333" s="2">
        <f>IF(
  AND(
    WORKDAY(E333-1,1)=E333,
    _xlfn.CONCAT(F333:G333)=""
  ),
  _xlfn.MAXIFS(I$2:I332,C$2:C332,C333,B$2:B332,B333)+1,
  ""
)</f>
        <v>20</v>
      </c>
    </row>
    <row r="334" spans="2:9" x14ac:dyDescent="0.25">
      <c r="B334" s="2">
        <f t="shared" si="17"/>
        <v>2026</v>
      </c>
      <c r="C334" s="2" t="str">
        <f t="shared" si="16"/>
        <v>May</v>
      </c>
      <c r="D334" s="2" t="str">
        <f t="shared" si="18"/>
        <v>Friday</v>
      </c>
      <c r="E334" s="4">
        <v>46171</v>
      </c>
      <c r="H334" s="3" t="str">
        <f>IF(OR(Table1[[#This Row],[US Holiday]]&lt;&gt;"", Table1[[#This Row],[India Holiday]]&lt;&gt;""), "Yes", "No")</f>
        <v>No</v>
      </c>
      <c r="I334" s="2">
        <f>IF(
  AND(
    WORKDAY(E334-1,1)=E334,
    _xlfn.CONCAT(F334:G334)=""
  ),
  _xlfn.MAXIFS(I$2:I333,C$2:C333,C334,B$2:B333,B334)+1,
  ""
)</f>
        <v>21</v>
      </c>
    </row>
    <row r="335" spans="2:9" x14ac:dyDescent="0.25">
      <c r="B335" s="2">
        <f t="shared" si="17"/>
        <v>2026</v>
      </c>
      <c r="C335" s="2" t="str">
        <f t="shared" si="16"/>
        <v>May</v>
      </c>
      <c r="D335" s="2" t="str">
        <f t="shared" si="18"/>
        <v>Saturday</v>
      </c>
      <c r="E335" s="4">
        <v>46172</v>
      </c>
      <c r="H335" s="3" t="str">
        <f>IF(OR(Table1[[#This Row],[US Holiday]]&lt;&gt;"", Table1[[#This Row],[India Holiday]]&lt;&gt;""), "Yes", "No")</f>
        <v>No</v>
      </c>
      <c r="I335" s="2" t="str">
        <f>IF(
  AND(
    WORKDAY(E335-1,1)=E335,
    _xlfn.CONCAT(F335:G335)=""
  ),
  _xlfn.MAXIFS(I$2:I334,C$2:C334,C335,B$2:B334,B335)+1,
  ""
)</f>
        <v/>
      </c>
    </row>
    <row r="336" spans="2:9" x14ac:dyDescent="0.25">
      <c r="B336" s="2">
        <f t="shared" si="17"/>
        <v>2026</v>
      </c>
      <c r="C336" s="2" t="str">
        <f t="shared" si="16"/>
        <v>May</v>
      </c>
      <c r="D336" s="2" t="str">
        <f t="shared" si="18"/>
        <v>Sunday</v>
      </c>
      <c r="E336" s="4">
        <v>46173</v>
      </c>
      <c r="H336" s="3" t="str">
        <f>IF(OR(Table1[[#This Row],[US Holiday]]&lt;&gt;"", Table1[[#This Row],[India Holiday]]&lt;&gt;""), "Yes", "No")</f>
        <v>No</v>
      </c>
      <c r="I336" s="2" t="str">
        <f>IF(
  AND(
    WORKDAY(E336-1,1)=E336,
    _xlfn.CONCAT(F336:G336)=""
  ),
  _xlfn.MAXIFS(I$2:I335,C$2:C335,C336,B$2:B335,B336)+1,
  ""
)</f>
        <v/>
      </c>
    </row>
    <row r="337" spans="2:9" x14ac:dyDescent="0.25">
      <c r="B337" s="2">
        <f t="shared" si="17"/>
        <v>2026</v>
      </c>
      <c r="C337" s="2" t="str">
        <f t="shared" si="16"/>
        <v>June</v>
      </c>
      <c r="D337" s="2" t="str">
        <f t="shared" si="18"/>
        <v>Monday</v>
      </c>
      <c r="E337" s="4">
        <v>46174</v>
      </c>
      <c r="H337" s="3" t="str">
        <f>IF(OR(Table1[[#This Row],[US Holiday]]&lt;&gt;"", Table1[[#This Row],[India Holiday]]&lt;&gt;""), "Yes", "No")</f>
        <v>No</v>
      </c>
      <c r="I337" s="2">
        <f>IF(
  AND(
    WORKDAY(E337-1,1)=E337,
    _xlfn.CONCAT(F337:G337)=""
  ),
  _xlfn.MAXIFS(I$2:I336,C$2:C336,C337,B$2:B336,B337)+1,
  ""
)</f>
        <v>1</v>
      </c>
    </row>
    <row r="338" spans="2:9" x14ac:dyDescent="0.25">
      <c r="B338" s="2">
        <f t="shared" si="17"/>
        <v>2026</v>
      </c>
      <c r="C338" s="2" t="str">
        <f t="shared" si="16"/>
        <v>June</v>
      </c>
      <c r="D338" s="2" t="str">
        <f t="shared" si="18"/>
        <v>Tuesday</v>
      </c>
      <c r="E338" s="4">
        <v>46175</v>
      </c>
      <c r="H338" s="3" t="str">
        <f>IF(OR(Table1[[#This Row],[US Holiday]]&lt;&gt;"", Table1[[#This Row],[India Holiday]]&lt;&gt;""), "Yes", "No")</f>
        <v>No</v>
      </c>
      <c r="I338" s="2">
        <f>IF(
  AND(
    WORKDAY(E338-1,1)=E338,
    _xlfn.CONCAT(F338:G338)=""
  ),
  _xlfn.MAXIFS(I$2:I337,C$2:C337,C338,B$2:B337,B338)+1,
  ""
)</f>
        <v>2</v>
      </c>
    </row>
    <row r="339" spans="2:9" x14ac:dyDescent="0.25">
      <c r="B339" s="2">
        <f t="shared" si="17"/>
        <v>2026</v>
      </c>
      <c r="C339" s="2" t="str">
        <f t="shared" si="16"/>
        <v>June</v>
      </c>
      <c r="D339" s="2" t="str">
        <f t="shared" si="18"/>
        <v>Wednesday</v>
      </c>
      <c r="E339" s="4">
        <v>46176</v>
      </c>
      <c r="H339" s="3" t="str">
        <f>IF(OR(Table1[[#This Row],[US Holiday]]&lt;&gt;"", Table1[[#This Row],[India Holiday]]&lt;&gt;""), "Yes", "No")</f>
        <v>No</v>
      </c>
      <c r="I339" s="2">
        <f>IF(
  AND(
    WORKDAY(E339-1,1)=E339,
    _xlfn.CONCAT(F339:G339)=""
  ),
  _xlfn.MAXIFS(I$2:I338,C$2:C338,C339,B$2:B338,B339)+1,
  ""
)</f>
        <v>3</v>
      </c>
    </row>
    <row r="340" spans="2:9" x14ac:dyDescent="0.25">
      <c r="B340" s="2">
        <f t="shared" si="17"/>
        <v>2026</v>
      </c>
      <c r="C340" s="2" t="str">
        <f t="shared" si="16"/>
        <v>June</v>
      </c>
      <c r="D340" s="2" t="str">
        <f t="shared" si="18"/>
        <v>Thursday</v>
      </c>
      <c r="E340" s="4">
        <v>46177</v>
      </c>
      <c r="H340" s="3" t="str">
        <f>IF(OR(Table1[[#This Row],[US Holiday]]&lt;&gt;"", Table1[[#This Row],[India Holiday]]&lt;&gt;""), "Yes", "No")</f>
        <v>No</v>
      </c>
      <c r="I340" s="2">
        <f>IF(
  AND(
    WORKDAY(E340-1,1)=E340,
    _xlfn.CONCAT(F340:G340)=""
  ),
  _xlfn.MAXIFS(I$2:I339,C$2:C339,C340,B$2:B339,B340)+1,
  ""
)</f>
        <v>4</v>
      </c>
    </row>
    <row r="341" spans="2:9" x14ac:dyDescent="0.25">
      <c r="B341" s="2">
        <f t="shared" si="17"/>
        <v>2026</v>
      </c>
      <c r="C341" s="2" t="str">
        <f t="shared" si="16"/>
        <v>June</v>
      </c>
      <c r="D341" s="2" t="str">
        <f t="shared" si="18"/>
        <v>Friday</v>
      </c>
      <c r="E341" s="4">
        <v>46178</v>
      </c>
      <c r="H341" s="3" t="str">
        <f>IF(OR(Table1[[#This Row],[US Holiday]]&lt;&gt;"", Table1[[#This Row],[India Holiday]]&lt;&gt;""), "Yes", "No")</f>
        <v>No</v>
      </c>
      <c r="I341" s="2">
        <f>IF(
  AND(
    WORKDAY(E341-1,1)=E341,
    _xlfn.CONCAT(F341:G341)=""
  ),
  _xlfn.MAXIFS(I$2:I340,C$2:C340,C341,B$2:B340,B341)+1,
  ""
)</f>
        <v>5</v>
      </c>
    </row>
    <row r="342" spans="2:9" x14ac:dyDescent="0.25">
      <c r="B342" s="2">
        <f t="shared" si="17"/>
        <v>2026</v>
      </c>
      <c r="C342" s="2" t="str">
        <f t="shared" si="16"/>
        <v>June</v>
      </c>
      <c r="D342" s="2" t="str">
        <f t="shared" si="18"/>
        <v>Saturday</v>
      </c>
      <c r="E342" s="4">
        <v>46179</v>
      </c>
      <c r="H342" s="3" t="str">
        <f>IF(OR(Table1[[#This Row],[US Holiday]]&lt;&gt;"", Table1[[#This Row],[India Holiday]]&lt;&gt;""), "Yes", "No")</f>
        <v>No</v>
      </c>
      <c r="I342" s="2" t="str">
        <f>IF(
  AND(
    WORKDAY(E342-1,1)=E342,
    _xlfn.CONCAT(F342:G342)=""
  ),
  _xlfn.MAXIFS(I$2:I341,C$2:C341,C342,B$2:B341,B342)+1,
  ""
)</f>
        <v/>
      </c>
    </row>
    <row r="343" spans="2:9" x14ac:dyDescent="0.25">
      <c r="B343" s="2">
        <f t="shared" si="17"/>
        <v>2026</v>
      </c>
      <c r="C343" s="2" t="str">
        <f t="shared" si="16"/>
        <v>June</v>
      </c>
      <c r="D343" s="2" t="str">
        <f t="shared" si="18"/>
        <v>Sunday</v>
      </c>
      <c r="E343" s="4">
        <v>46180</v>
      </c>
      <c r="H343" s="3" t="str">
        <f>IF(OR(Table1[[#This Row],[US Holiday]]&lt;&gt;"", Table1[[#This Row],[India Holiday]]&lt;&gt;""), "Yes", "No")</f>
        <v>No</v>
      </c>
      <c r="I343" s="2" t="str">
        <f>IF(
  AND(
    WORKDAY(E343-1,1)=E343,
    _xlfn.CONCAT(F343:G343)=""
  ),
  _xlfn.MAXIFS(I$2:I342,C$2:C342,C343,B$2:B342,B343)+1,
  ""
)</f>
        <v/>
      </c>
    </row>
    <row r="344" spans="2:9" x14ac:dyDescent="0.25">
      <c r="B344" s="2">
        <f t="shared" si="17"/>
        <v>2026</v>
      </c>
      <c r="C344" s="2" t="str">
        <f t="shared" si="16"/>
        <v>June</v>
      </c>
      <c r="D344" s="2" t="str">
        <f t="shared" si="18"/>
        <v>Monday</v>
      </c>
      <c r="E344" s="4">
        <v>46181</v>
      </c>
      <c r="H344" s="3" t="str">
        <f>IF(OR(Table1[[#This Row],[US Holiday]]&lt;&gt;"", Table1[[#This Row],[India Holiday]]&lt;&gt;""), "Yes", "No")</f>
        <v>No</v>
      </c>
      <c r="I344" s="2">
        <f>IF(
  AND(
    WORKDAY(E344-1,1)=E344,
    _xlfn.CONCAT(F344:G344)=""
  ),
  _xlfn.MAXIFS(I$2:I343,C$2:C343,C344,B$2:B343,B344)+1,
  ""
)</f>
        <v>6</v>
      </c>
    </row>
    <row r="345" spans="2:9" x14ac:dyDescent="0.25">
      <c r="B345" s="2">
        <f t="shared" si="17"/>
        <v>2026</v>
      </c>
      <c r="C345" s="2" t="str">
        <f t="shared" si="16"/>
        <v>June</v>
      </c>
      <c r="D345" s="2" t="str">
        <f t="shared" si="18"/>
        <v>Tuesday</v>
      </c>
      <c r="E345" s="4">
        <v>46182</v>
      </c>
      <c r="H345" s="3" t="str">
        <f>IF(OR(Table1[[#This Row],[US Holiday]]&lt;&gt;"", Table1[[#This Row],[India Holiday]]&lt;&gt;""), "Yes", "No")</f>
        <v>No</v>
      </c>
      <c r="I345" s="2">
        <f>IF(
  AND(
    WORKDAY(E345-1,1)=E345,
    _xlfn.CONCAT(F345:G345)=""
  ),
  _xlfn.MAXIFS(I$2:I344,C$2:C344,C345,B$2:B344,B345)+1,
  ""
)</f>
        <v>7</v>
      </c>
    </row>
    <row r="346" spans="2:9" x14ac:dyDescent="0.25">
      <c r="B346" s="2">
        <f t="shared" si="17"/>
        <v>2026</v>
      </c>
      <c r="C346" s="2" t="str">
        <f t="shared" si="16"/>
        <v>June</v>
      </c>
      <c r="D346" s="2" t="str">
        <f t="shared" si="18"/>
        <v>Wednesday</v>
      </c>
      <c r="E346" s="4">
        <v>46183</v>
      </c>
      <c r="H346" s="3" t="str">
        <f>IF(OR(Table1[[#This Row],[US Holiday]]&lt;&gt;"", Table1[[#This Row],[India Holiday]]&lt;&gt;""), "Yes", "No")</f>
        <v>No</v>
      </c>
      <c r="I346" s="2">
        <f>IF(
  AND(
    WORKDAY(E346-1,1)=E346,
    _xlfn.CONCAT(F346:G346)=""
  ),
  _xlfn.MAXIFS(I$2:I345,C$2:C345,C346,B$2:B345,B346)+1,
  ""
)</f>
        <v>8</v>
      </c>
    </row>
    <row r="347" spans="2:9" x14ac:dyDescent="0.25">
      <c r="B347" s="2">
        <f t="shared" si="17"/>
        <v>2026</v>
      </c>
      <c r="C347" s="2" t="str">
        <f t="shared" si="16"/>
        <v>June</v>
      </c>
      <c r="D347" s="2" t="str">
        <f t="shared" si="18"/>
        <v>Thursday</v>
      </c>
      <c r="E347" s="4">
        <v>46184</v>
      </c>
      <c r="H347" s="3" t="str">
        <f>IF(OR(Table1[[#This Row],[US Holiday]]&lt;&gt;"", Table1[[#This Row],[India Holiday]]&lt;&gt;""), "Yes", "No")</f>
        <v>No</v>
      </c>
      <c r="I347" s="2">
        <f>IF(
  AND(
    WORKDAY(E347-1,1)=E347,
    _xlfn.CONCAT(F347:G347)=""
  ),
  _xlfn.MAXIFS(I$2:I346,C$2:C346,C347,B$2:B346,B347)+1,
  ""
)</f>
        <v>9</v>
      </c>
    </row>
    <row r="348" spans="2:9" x14ac:dyDescent="0.25">
      <c r="B348" s="2">
        <f t="shared" si="17"/>
        <v>2026</v>
      </c>
      <c r="C348" s="2" t="str">
        <f t="shared" si="16"/>
        <v>June</v>
      </c>
      <c r="D348" s="2" t="str">
        <f t="shared" si="18"/>
        <v>Friday</v>
      </c>
      <c r="E348" s="4">
        <v>46185</v>
      </c>
      <c r="H348" s="3" t="str">
        <f>IF(OR(Table1[[#This Row],[US Holiday]]&lt;&gt;"", Table1[[#This Row],[India Holiday]]&lt;&gt;""), "Yes", "No")</f>
        <v>No</v>
      </c>
      <c r="I348" s="2">
        <f>IF(
  AND(
    WORKDAY(E348-1,1)=E348,
    _xlfn.CONCAT(F348:G348)=""
  ),
  _xlfn.MAXIFS(I$2:I347,C$2:C347,C348,B$2:B347,B348)+1,
  ""
)</f>
        <v>10</v>
      </c>
    </row>
    <row r="349" spans="2:9" x14ac:dyDescent="0.25">
      <c r="B349" s="2">
        <f t="shared" si="17"/>
        <v>2026</v>
      </c>
      <c r="C349" s="2" t="str">
        <f t="shared" si="16"/>
        <v>June</v>
      </c>
      <c r="D349" s="2" t="str">
        <f t="shared" si="18"/>
        <v>Saturday</v>
      </c>
      <c r="E349" s="4">
        <v>46186</v>
      </c>
      <c r="H349" s="3" t="str">
        <f>IF(OR(Table1[[#This Row],[US Holiday]]&lt;&gt;"", Table1[[#This Row],[India Holiday]]&lt;&gt;""), "Yes", "No")</f>
        <v>No</v>
      </c>
      <c r="I349" s="2" t="str">
        <f>IF(
  AND(
    WORKDAY(E349-1,1)=E349,
    _xlfn.CONCAT(F349:G349)=""
  ),
  _xlfn.MAXIFS(I$2:I348,C$2:C348,C349,B$2:B348,B349)+1,
  ""
)</f>
        <v/>
      </c>
    </row>
    <row r="350" spans="2:9" x14ac:dyDescent="0.25">
      <c r="B350" s="2">
        <f t="shared" si="17"/>
        <v>2026</v>
      </c>
      <c r="C350" s="2" t="str">
        <f t="shared" si="16"/>
        <v>June</v>
      </c>
      <c r="D350" s="2" t="str">
        <f t="shared" si="18"/>
        <v>Sunday</v>
      </c>
      <c r="E350" s="4">
        <v>46187</v>
      </c>
      <c r="H350" s="3" t="str">
        <f>IF(OR(Table1[[#This Row],[US Holiday]]&lt;&gt;"", Table1[[#This Row],[India Holiday]]&lt;&gt;""), "Yes", "No")</f>
        <v>No</v>
      </c>
      <c r="I350" s="2" t="str">
        <f>IF(
  AND(
    WORKDAY(E350-1,1)=E350,
    _xlfn.CONCAT(F350:G350)=""
  ),
  _xlfn.MAXIFS(I$2:I349,C$2:C349,C350,B$2:B349,B350)+1,
  ""
)</f>
        <v/>
      </c>
    </row>
    <row r="351" spans="2:9" x14ac:dyDescent="0.25">
      <c r="B351" s="2">
        <f t="shared" si="17"/>
        <v>2026</v>
      </c>
      <c r="C351" s="2" t="str">
        <f t="shared" si="16"/>
        <v>June</v>
      </c>
      <c r="D351" s="2" t="str">
        <f t="shared" si="18"/>
        <v>Monday</v>
      </c>
      <c r="E351" s="4">
        <v>46188</v>
      </c>
      <c r="H351" s="3" t="str">
        <f>IF(OR(Table1[[#This Row],[US Holiday]]&lt;&gt;"", Table1[[#This Row],[India Holiday]]&lt;&gt;""), "Yes", "No")</f>
        <v>No</v>
      </c>
      <c r="I351" s="2">
        <f>IF(
  AND(
    WORKDAY(E351-1,1)=E351,
    _xlfn.CONCAT(F351:G351)=""
  ),
  _xlfn.MAXIFS(I$2:I350,C$2:C350,C351,B$2:B350,B351)+1,
  ""
)</f>
        <v>11</v>
      </c>
    </row>
    <row r="352" spans="2:9" x14ac:dyDescent="0.25">
      <c r="B352" s="2">
        <f t="shared" si="17"/>
        <v>2026</v>
      </c>
      <c r="C352" s="2" t="str">
        <f t="shared" si="16"/>
        <v>June</v>
      </c>
      <c r="D352" s="2" t="str">
        <f t="shared" si="18"/>
        <v>Tuesday</v>
      </c>
      <c r="E352" s="4">
        <v>46189</v>
      </c>
      <c r="H352" s="3" t="str">
        <f>IF(OR(Table1[[#This Row],[US Holiday]]&lt;&gt;"", Table1[[#This Row],[India Holiday]]&lt;&gt;""), "Yes", "No")</f>
        <v>No</v>
      </c>
      <c r="I352" s="2">
        <f>IF(
  AND(
    WORKDAY(E352-1,1)=E352,
    _xlfn.CONCAT(F352:G352)=""
  ),
  _xlfn.MAXIFS(I$2:I351,C$2:C351,C352,B$2:B351,B352)+1,
  ""
)</f>
        <v>12</v>
      </c>
    </row>
    <row r="353" spans="2:9" x14ac:dyDescent="0.25">
      <c r="B353" s="2">
        <f t="shared" si="17"/>
        <v>2026</v>
      </c>
      <c r="C353" s="2" t="str">
        <f t="shared" si="16"/>
        <v>June</v>
      </c>
      <c r="D353" s="2" t="str">
        <f t="shared" si="18"/>
        <v>Wednesday</v>
      </c>
      <c r="E353" s="4">
        <v>46190</v>
      </c>
      <c r="H353" s="3" t="str">
        <f>IF(OR(Table1[[#This Row],[US Holiday]]&lt;&gt;"", Table1[[#This Row],[India Holiday]]&lt;&gt;""), "Yes", "No")</f>
        <v>No</v>
      </c>
      <c r="I353" s="2">
        <f>IF(
  AND(
    WORKDAY(E353-1,1)=E353,
    _xlfn.CONCAT(F353:G353)=""
  ),
  _xlfn.MAXIFS(I$2:I352,C$2:C352,C353,B$2:B352,B353)+1,
  ""
)</f>
        <v>13</v>
      </c>
    </row>
    <row r="354" spans="2:9" x14ac:dyDescent="0.25">
      <c r="B354" s="2">
        <f t="shared" si="17"/>
        <v>2026</v>
      </c>
      <c r="C354" s="2" t="str">
        <f t="shared" si="16"/>
        <v>June</v>
      </c>
      <c r="D354" s="2" t="str">
        <f t="shared" si="18"/>
        <v>Thursday</v>
      </c>
      <c r="E354" s="4">
        <v>46191</v>
      </c>
      <c r="H354" s="3" t="str">
        <f>IF(OR(Table1[[#This Row],[US Holiday]]&lt;&gt;"", Table1[[#This Row],[India Holiday]]&lt;&gt;""), "Yes", "No")</f>
        <v>No</v>
      </c>
      <c r="I354" s="2">
        <f>IF(
  AND(
    WORKDAY(E354-1,1)=E354,
    _xlfn.CONCAT(F354:G354)=""
  ),
  _xlfn.MAXIFS(I$2:I353,C$2:C353,C354,B$2:B353,B354)+1,
  ""
)</f>
        <v>14</v>
      </c>
    </row>
    <row r="355" spans="2:9" x14ac:dyDescent="0.25">
      <c r="B355" s="2">
        <f t="shared" si="17"/>
        <v>2026</v>
      </c>
      <c r="C355" s="2" t="str">
        <f t="shared" si="16"/>
        <v>June</v>
      </c>
      <c r="D355" s="2" t="str">
        <f t="shared" si="18"/>
        <v>Friday</v>
      </c>
      <c r="E355" s="4">
        <v>46192</v>
      </c>
      <c r="H355" s="3" t="str">
        <f>IF(OR(Table1[[#This Row],[US Holiday]]&lt;&gt;"", Table1[[#This Row],[India Holiday]]&lt;&gt;""), "Yes", "No")</f>
        <v>No</v>
      </c>
      <c r="I355" s="2">
        <f>IF(
  AND(
    WORKDAY(E355-1,1)=E355,
    _xlfn.CONCAT(F355:G355)=""
  ),
  _xlfn.MAXIFS(I$2:I354,C$2:C354,C355,B$2:B354,B355)+1,
  ""
)</f>
        <v>15</v>
      </c>
    </row>
    <row r="356" spans="2:9" x14ac:dyDescent="0.25">
      <c r="B356" s="2">
        <f t="shared" si="17"/>
        <v>2026</v>
      </c>
      <c r="C356" s="2" t="str">
        <f t="shared" si="16"/>
        <v>June</v>
      </c>
      <c r="D356" s="2" t="str">
        <f t="shared" si="18"/>
        <v>Saturday</v>
      </c>
      <c r="E356" s="4">
        <v>46193</v>
      </c>
      <c r="H356" s="3" t="str">
        <f>IF(OR(Table1[[#This Row],[US Holiday]]&lt;&gt;"", Table1[[#This Row],[India Holiday]]&lt;&gt;""), "Yes", "No")</f>
        <v>No</v>
      </c>
      <c r="I356" s="2" t="str">
        <f>IF(
  AND(
    WORKDAY(E356-1,1)=E356,
    _xlfn.CONCAT(F356:G356)=""
  ),
  _xlfn.MAXIFS(I$2:I355,C$2:C355,C356,B$2:B355,B356)+1,
  ""
)</f>
        <v/>
      </c>
    </row>
    <row r="357" spans="2:9" x14ac:dyDescent="0.25">
      <c r="B357" s="2">
        <f t="shared" si="17"/>
        <v>2026</v>
      </c>
      <c r="C357" s="2" t="str">
        <f t="shared" si="16"/>
        <v>June</v>
      </c>
      <c r="D357" s="2" t="str">
        <f t="shared" si="18"/>
        <v>Sunday</v>
      </c>
      <c r="E357" s="4">
        <v>46194</v>
      </c>
      <c r="H357" s="3" t="str">
        <f>IF(OR(Table1[[#This Row],[US Holiday]]&lt;&gt;"", Table1[[#This Row],[India Holiday]]&lt;&gt;""), "Yes", "No")</f>
        <v>No</v>
      </c>
      <c r="I357" s="2" t="str">
        <f>IF(
  AND(
    WORKDAY(E357-1,1)=E357,
    _xlfn.CONCAT(F357:G357)=""
  ),
  _xlfn.MAXIFS(I$2:I356,C$2:C356,C357,B$2:B356,B357)+1,
  ""
)</f>
        <v/>
      </c>
    </row>
    <row r="358" spans="2:9" x14ac:dyDescent="0.25">
      <c r="B358" s="2">
        <f t="shared" si="17"/>
        <v>2026</v>
      </c>
      <c r="C358" s="2" t="str">
        <f t="shared" si="16"/>
        <v>June</v>
      </c>
      <c r="D358" s="2" t="str">
        <f t="shared" si="18"/>
        <v>Monday</v>
      </c>
      <c r="E358" s="4">
        <v>46195</v>
      </c>
      <c r="H358" s="3" t="str">
        <f>IF(OR(Table1[[#This Row],[US Holiday]]&lt;&gt;"", Table1[[#This Row],[India Holiday]]&lt;&gt;""), "Yes", "No")</f>
        <v>No</v>
      </c>
      <c r="I358" s="2">
        <f>IF(
  AND(
    WORKDAY(E358-1,1)=E358,
    _xlfn.CONCAT(F358:G358)=""
  ),
  _xlfn.MAXIFS(I$2:I357,C$2:C357,C358,B$2:B357,B358)+1,
  ""
)</f>
        <v>16</v>
      </c>
    </row>
    <row r="359" spans="2:9" x14ac:dyDescent="0.25">
      <c r="B359" s="2">
        <f t="shared" si="17"/>
        <v>2026</v>
      </c>
      <c r="C359" s="2" t="str">
        <f t="shared" si="16"/>
        <v>June</v>
      </c>
      <c r="D359" s="2" t="str">
        <f t="shared" si="18"/>
        <v>Tuesday</v>
      </c>
      <c r="E359" s="4">
        <v>46196</v>
      </c>
      <c r="H359" s="3" t="str">
        <f>IF(OR(Table1[[#This Row],[US Holiday]]&lt;&gt;"", Table1[[#This Row],[India Holiday]]&lt;&gt;""), "Yes", "No")</f>
        <v>No</v>
      </c>
      <c r="I359" s="2">
        <f>IF(
  AND(
    WORKDAY(E359-1,1)=E359,
    _xlfn.CONCAT(F359:G359)=""
  ),
  _xlfn.MAXIFS(I$2:I358,C$2:C358,C359,B$2:B358,B359)+1,
  ""
)</f>
        <v>17</v>
      </c>
    </row>
    <row r="360" spans="2:9" x14ac:dyDescent="0.25">
      <c r="B360" s="2">
        <f t="shared" si="17"/>
        <v>2026</v>
      </c>
      <c r="C360" s="2" t="str">
        <f t="shared" si="16"/>
        <v>June</v>
      </c>
      <c r="D360" s="2" t="str">
        <f t="shared" si="18"/>
        <v>Wednesday</v>
      </c>
      <c r="E360" s="4">
        <v>46197</v>
      </c>
      <c r="H360" s="3" t="str">
        <f>IF(OR(Table1[[#This Row],[US Holiday]]&lt;&gt;"", Table1[[#This Row],[India Holiday]]&lt;&gt;""), "Yes", "No")</f>
        <v>No</v>
      </c>
      <c r="I360" s="2">
        <f>IF(
  AND(
    WORKDAY(E360-1,1)=E360,
    _xlfn.CONCAT(F360:G360)=""
  ),
  _xlfn.MAXIFS(I$2:I359,C$2:C359,C360,B$2:B359,B360)+1,
  ""
)</f>
        <v>18</v>
      </c>
    </row>
    <row r="361" spans="2:9" x14ac:dyDescent="0.25">
      <c r="B361" s="2">
        <f t="shared" si="17"/>
        <v>2026</v>
      </c>
      <c r="C361" s="2" t="str">
        <f t="shared" si="16"/>
        <v>June</v>
      </c>
      <c r="D361" s="2" t="str">
        <f t="shared" si="18"/>
        <v>Thursday</v>
      </c>
      <c r="E361" s="4">
        <v>46198</v>
      </c>
      <c r="H361" s="3" t="str">
        <f>IF(OR(Table1[[#This Row],[US Holiday]]&lt;&gt;"", Table1[[#This Row],[India Holiday]]&lt;&gt;""), "Yes", "No")</f>
        <v>No</v>
      </c>
      <c r="I361" s="2">
        <f>IF(
  AND(
    WORKDAY(E361-1,1)=E361,
    _xlfn.CONCAT(F361:G361)=""
  ),
  _xlfn.MAXIFS(I$2:I360,C$2:C360,C361,B$2:B360,B361)+1,
  ""
)</f>
        <v>19</v>
      </c>
    </row>
    <row r="362" spans="2:9" x14ac:dyDescent="0.25">
      <c r="B362" s="2">
        <f t="shared" si="17"/>
        <v>2026</v>
      </c>
      <c r="C362" s="2" t="str">
        <f t="shared" si="16"/>
        <v>June</v>
      </c>
      <c r="D362" s="2" t="str">
        <f t="shared" si="18"/>
        <v>Friday</v>
      </c>
      <c r="E362" s="4">
        <v>46199</v>
      </c>
      <c r="H362" s="3" t="str">
        <f>IF(OR(Table1[[#This Row],[US Holiday]]&lt;&gt;"", Table1[[#This Row],[India Holiday]]&lt;&gt;""), "Yes", "No")</f>
        <v>No</v>
      </c>
      <c r="I362" s="2">
        <f>IF(
  AND(
    WORKDAY(E362-1,1)=E362,
    _xlfn.CONCAT(F362:G362)=""
  ),
  _xlfn.MAXIFS(I$2:I361,C$2:C361,C362,B$2:B361,B362)+1,
  ""
)</f>
        <v>20</v>
      </c>
    </row>
    <row r="363" spans="2:9" x14ac:dyDescent="0.25">
      <c r="B363" s="2">
        <f t="shared" si="17"/>
        <v>2026</v>
      </c>
      <c r="C363" s="2" t="str">
        <f t="shared" si="16"/>
        <v>June</v>
      </c>
      <c r="D363" s="2" t="str">
        <f t="shared" si="18"/>
        <v>Saturday</v>
      </c>
      <c r="E363" s="4">
        <v>46200</v>
      </c>
      <c r="H363" s="3" t="str">
        <f>IF(OR(Table1[[#This Row],[US Holiday]]&lt;&gt;"", Table1[[#This Row],[India Holiday]]&lt;&gt;""), "Yes", "No")</f>
        <v>No</v>
      </c>
      <c r="I363" s="2" t="str">
        <f>IF(
  AND(
    WORKDAY(E363-1,1)=E363,
    _xlfn.CONCAT(F363:G363)=""
  ),
  _xlfn.MAXIFS(I$2:I362,C$2:C362,C363,B$2:B362,B363)+1,
  ""
)</f>
        <v/>
      </c>
    </row>
    <row r="364" spans="2:9" x14ac:dyDescent="0.25">
      <c r="B364" s="2">
        <f t="shared" si="17"/>
        <v>2026</v>
      </c>
      <c r="C364" s="2" t="str">
        <f t="shared" si="16"/>
        <v>June</v>
      </c>
      <c r="D364" s="2" t="str">
        <f t="shared" si="18"/>
        <v>Sunday</v>
      </c>
      <c r="E364" s="4">
        <v>46201</v>
      </c>
      <c r="H364" s="3" t="str">
        <f>IF(OR(Table1[[#This Row],[US Holiday]]&lt;&gt;"", Table1[[#This Row],[India Holiday]]&lt;&gt;""), "Yes", "No")</f>
        <v>No</v>
      </c>
      <c r="I364" s="2" t="str">
        <f>IF(
  AND(
    WORKDAY(E364-1,1)=E364,
    _xlfn.CONCAT(F364:G364)=""
  ),
  _xlfn.MAXIFS(I$2:I363,C$2:C363,C364,B$2:B363,B364)+1,
  ""
)</f>
        <v/>
      </c>
    </row>
    <row r="365" spans="2:9" x14ac:dyDescent="0.25">
      <c r="B365" s="2">
        <f t="shared" si="17"/>
        <v>2026</v>
      </c>
      <c r="C365" s="2" t="str">
        <f t="shared" si="16"/>
        <v>June</v>
      </c>
      <c r="D365" s="2" t="str">
        <f t="shared" si="18"/>
        <v>Monday</v>
      </c>
      <c r="E365" s="4">
        <v>46202</v>
      </c>
      <c r="H365" s="3" t="str">
        <f>IF(OR(Table1[[#This Row],[US Holiday]]&lt;&gt;"", Table1[[#This Row],[India Holiday]]&lt;&gt;""), "Yes", "No")</f>
        <v>No</v>
      </c>
      <c r="I365" s="2">
        <f>IF(
  AND(
    WORKDAY(E365-1,1)=E365,
    _xlfn.CONCAT(F365:G365)=""
  ),
  _xlfn.MAXIFS(I$2:I364,C$2:C364,C365,B$2:B364,B365)+1,
  ""
)</f>
        <v>21</v>
      </c>
    </row>
    <row r="366" spans="2:9" x14ac:dyDescent="0.25">
      <c r="B366" s="2">
        <f t="shared" si="17"/>
        <v>2026</v>
      </c>
      <c r="C366" s="2" t="str">
        <f t="shared" si="16"/>
        <v>June</v>
      </c>
      <c r="D366" s="2" t="str">
        <f t="shared" si="18"/>
        <v>Tuesday</v>
      </c>
      <c r="E366" s="4">
        <v>46203</v>
      </c>
      <c r="H366" s="3" t="str">
        <f>IF(OR(Table1[[#This Row],[US Holiday]]&lt;&gt;"", Table1[[#This Row],[India Holiday]]&lt;&gt;""), "Yes", "No")</f>
        <v>No</v>
      </c>
      <c r="I366" s="2">
        <f>IF(
  AND(
    WORKDAY(E366-1,1)=E366,
    _xlfn.CONCAT(F366:G366)=""
  ),
  _xlfn.MAXIFS(I$2:I365,C$2:C365,C366,B$2:B365,B366)+1,
  ""
)</f>
        <v>22</v>
      </c>
    </row>
    <row r="367" spans="2:9" x14ac:dyDescent="0.25">
      <c r="B367" s="2">
        <f t="shared" si="17"/>
        <v>2026</v>
      </c>
      <c r="C367" s="2" t="str">
        <f t="shared" si="16"/>
        <v>July</v>
      </c>
      <c r="D367" s="2" t="str">
        <f t="shared" si="18"/>
        <v>Wednesday</v>
      </c>
      <c r="E367" s="4">
        <v>46204</v>
      </c>
      <c r="H367" s="3" t="str">
        <f>IF(OR(Table1[[#This Row],[US Holiday]]&lt;&gt;"", Table1[[#This Row],[India Holiday]]&lt;&gt;""), "Yes", "No")</f>
        <v>No</v>
      </c>
      <c r="I367" s="2">
        <f>IF(
  AND(
    WORKDAY(E367-1,1)=E367,
    _xlfn.CONCAT(F367:G367)=""
  ),
  _xlfn.MAXIFS(I$2:I366,C$2:C366,C367,B$2:B366,B367)+1,
  ""
)</f>
        <v>1</v>
      </c>
    </row>
    <row r="368" spans="2:9" x14ac:dyDescent="0.25">
      <c r="B368" s="2">
        <f t="shared" si="17"/>
        <v>2026</v>
      </c>
      <c r="C368" s="2" t="str">
        <f t="shared" si="16"/>
        <v>July</v>
      </c>
      <c r="D368" s="2" t="str">
        <f t="shared" si="18"/>
        <v>Thursday</v>
      </c>
      <c r="E368" s="4">
        <v>46205</v>
      </c>
      <c r="H368" s="3" t="str">
        <f>IF(OR(Table1[[#This Row],[US Holiday]]&lt;&gt;"", Table1[[#This Row],[India Holiday]]&lt;&gt;""), "Yes", "No")</f>
        <v>No</v>
      </c>
      <c r="I368" s="2">
        <f>IF(
  AND(
    WORKDAY(E368-1,1)=E368,
    _xlfn.CONCAT(F368:G368)=""
  ),
  _xlfn.MAXIFS(I$2:I367,C$2:C367,C368,B$2:B367,B368)+1,
  ""
)</f>
        <v>2</v>
      </c>
    </row>
    <row r="369" spans="2:9" x14ac:dyDescent="0.25">
      <c r="B369" s="2">
        <f t="shared" si="17"/>
        <v>2026</v>
      </c>
      <c r="C369" s="2" t="str">
        <f t="shared" si="16"/>
        <v>July</v>
      </c>
      <c r="D369" s="2" t="str">
        <f t="shared" si="18"/>
        <v>Friday</v>
      </c>
      <c r="E369" s="4">
        <v>46206</v>
      </c>
      <c r="H369" s="3" t="str">
        <f>IF(OR(Table1[[#This Row],[US Holiday]]&lt;&gt;"", Table1[[#This Row],[India Holiday]]&lt;&gt;""), "Yes", "No")</f>
        <v>No</v>
      </c>
      <c r="I369" s="2">
        <f>IF(
  AND(
    WORKDAY(E369-1,1)=E369,
    _xlfn.CONCAT(F369:G369)=""
  ),
  _xlfn.MAXIFS(I$2:I368,C$2:C368,C369,B$2:B368,B369)+1,
  ""
)</f>
        <v>3</v>
      </c>
    </row>
    <row r="370" spans="2:9" x14ac:dyDescent="0.25">
      <c r="B370" s="2">
        <f t="shared" si="17"/>
        <v>2026</v>
      </c>
      <c r="C370" s="2" t="str">
        <f t="shared" si="16"/>
        <v>July</v>
      </c>
      <c r="D370" s="2" t="str">
        <f t="shared" si="18"/>
        <v>Saturday</v>
      </c>
      <c r="E370" s="4">
        <v>46207</v>
      </c>
      <c r="H370" s="3" t="str">
        <f>IF(OR(Table1[[#This Row],[US Holiday]]&lt;&gt;"", Table1[[#This Row],[India Holiday]]&lt;&gt;""), "Yes", "No")</f>
        <v>No</v>
      </c>
      <c r="I370" s="2" t="str">
        <f>IF(
  AND(
    WORKDAY(E370-1,1)=E370,
    _xlfn.CONCAT(F370:G370)=""
  ),
  _xlfn.MAXIFS(I$2:I369,C$2:C369,C370,B$2:B369,B370)+1,
  ""
)</f>
        <v/>
      </c>
    </row>
    <row r="371" spans="2:9" x14ac:dyDescent="0.25">
      <c r="B371" s="2">
        <f t="shared" si="17"/>
        <v>2026</v>
      </c>
      <c r="C371" s="2" t="str">
        <f t="shared" si="16"/>
        <v>July</v>
      </c>
      <c r="D371" s="2" t="str">
        <f t="shared" si="18"/>
        <v>Sunday</v>
      </c>
      <c r="E371" s="4">
        <v>46208</v>
      </c>
      <c r="H371" s="3" t="str">
        <f>IF(OR(Table1[[#This Row],[US Holiday]]&lt;&gt;"", Table1[[#This Row],[India Holiday]]&lt;&gt;""), "Yes", "No")</f>
        <v>No</v>
      </c>
      <c r="I371" s="2" t="str">
        <f>IF(
  AND(
    WORKDAY(E371-1,1)=E371,
    _xlfn.CONCAT(F371:G371)=""
  ),
  _xlfn.MAXIFS(I$2:I370,C$2:C370,C371,B$2:B370,B371)+1,
  ""
)</f>
        <v/>
      </c>
    </row>
    <row r="372" spans="2:9" x14ac:dyDescent="0.25">
      <c r="B372" s="2">
        <f t="shared" si="17"/>
        <v>2026</v>
      </c>
      <c r="C372" s="2" t="str">
        <f t="shared" si="16"/>
        <v>July</v>
      </c>
      <c r="D372" s="2" t="str">
        <f t="shared" si="18"/>
        <v>Monday</v>
      </c>
      <c r="E372" s="4">
        <v>46209</v>
      </c>
      <c r="H372" s="3" t="str">
        <f>IF(OR(Table1[[#This Row],[US Holiday]]&lt;&gt;"", Table1[[#This Row],[India Holiday]]&lt;&gt;""), "Yes", "No")</f>
        <v>No</v>
      </c>
      <c r="I372" s="2">
        <f>IF(
  AND(
    WORKDAY(E372-1,1)=E372,
    _xlfn.CONCAT(F372:G372)=""
  ),
  _xlfn.MAXIFS(I$2:I371,C$2:C371,C372,B$2:B371,B372)+1,
  ""
)</f>
        <v>4</v>
      </c>
    </row>
    <row r="373" spans="2:9" x14ac:dyDescent="0.25">
      <c r="B373" s="2">
        <f t="shared" si="17"/>
        <v>2026</v>
      </c>
      <c r="C373" s="2" t="str">
        <f t="shared" si="16"/>
        <v>July</v>
      </c>
      <c r="D373" s="2" t="str">
        <f t="shared" si="18"/>
        <v>Tuesday</v>
      </c>
      <c r="E373" s="4">
        <v>46210</v>
      </c>
      <c r="H373" s="3" t="str">
        <f>IF(OR(Table1[[#This Row],[US Holiday]]&lt;&gt;"", Table1[[#This Row],[India Holiday]]&lt;&gt;""), "Yes", "No")</f>
        <v>No</v>
      </c>
      <c r="I373" s="2">
        <f>IF(
  AND(
    WORKDAY(E373-1,1)=E373,
    _xlfn.CONCAT(F373:G373)=""
  ),
  _xlfn.MAXIFS(I$2:I372,C$2:C372,C373,B$2:B372,B373)+1,
  ""
)</f>
        <v>5</v>
      </c>
    </row>
    <row r="374" spans="2:9" x14ac:dyDescent="0.25">
      <c r="B374" s="2">
        <f t="shared" si="17"/>
        <v>2026</v>
      </c>
      <c r="C374" s="2" t="str">
        <f t="shared" si="16"/>
        <v>July</v>
      </c>
      <c r="D374" s="2" t="str">
        <f t="shared" si="18"/>
        <v>Wednesday</v>
      </c>
      <c r="E374" s="4">
        <v>46211</v>
      </c>
      <c r="H374" s="3" t="str">
        <f>IF(OR(Table1[[#This Row],[US Holiday]]&lt;&gt;"", Table1[[#This Row],[India Holiday]]&lt;&gt;""), "Yes", "No")</f>
        <v>No</v>
      </c>
      <c r="I374" s="2">
        <f>IF(
  AND(
    WORKDAY(E374-1,1)=E374,
    _xlfn.CONCAT(F374:G374)=""
  ),
  _xlfn.MAXIFS(I$2:I373,C$2:C373,C374,B$2:B373,B374)+1,
  ""
)</f>
        <v>6</v>
      </c>
    </row>
    <row r="375" spans="2:9" x14ac:dyDescent="0.25">
      <c r="B375" s="2">
        <f t="shared" si="17"/>
        <v>2026</v>
      </c>
      <c r="C375" s="2" t="str">
        <f t="shared" si="16"/>
        <v>July</v>
      </c>
      <c r="D375" s="2" t="str">
        <f t="shared" si="18"/>
        <v>Thursday</v>
      </c>
      <c r="E375" s="4">
        <v>46212</v>
      </c>
      <c r="H375" s="3" t="str">
        <f>IF(OR(Table1[[#This Row],[US Holiday]]&lt;&gt;"", Table1[[#This Row],[India Holiday]]&lt;&gt;""), "Yes", "No")</f>
        <v>No</v>
      </c>
      <c r="I375" s="2">
        <f>IF(
  AND(
    WORKDAY(E375-1,1)=E375,
    _xlfn.CONCAT(F375:G375)=""
  ),
  _xlfn.MAXIFS(I$2:I374,C$2:C374,C375,B$2:B374,B375)+1,
  ""
)</f>
        <v>7</v>
      </c>
    </row>
    <row r="376" spans="2:9" x14ac:dyDescent="0.25">
      <c r="B376" s="2">
        <f t="shared" si="17"/>
        <v>2026</v>
      </c>
      <c r="C376" s="2" t="str">
        <f t="shared" si="16"/>
        <v>July</v>
      </c>
      <c r="D376" s="2" t="str">
        <f t="shared" si="18"/>
        <v>Friday</v>
      </c>
      <c r="E376" s="4">
        <v>46213</v>
      </c>
      <c r="H376" s="3" t="str">
        <f>IF(OR(Table1[[#This Row],[US Holiday]]&lt;&gt;"", Table1[[#This Row],[India Holiday]]&lt;&gt;""), "Yes", "No")</f>
        <v>No</v>
      </c>
      <c r="I376" s="2">
        <f>IF(
  AND(
    WORKDAY(E376-1,1)=E376,
    _xlfn.CONCAT(F376:G376)=""
  ),
  _xlfn.MAXIFS(I$2:I375,C$2:C375,C376,B$2:B375,B376)+1,
  ""
)</f>
        <v>8</v>
      </c>
    </row>
    <row r="377" spans="2:9" x14ac:dyDescent="0.25">
      <c r="B377" s="2">
        <f t="shared" si="17"/>
        <v>2026</v>
      </c>
      <c r="C377" s="2" t="str">
        <f t="shared" si="16"/>
        <v>July</v>
      </c>
      <c r="D377" s="2" t="str">
        <f t="shared" si="18"/>
        <v>Saturday</v>
      </c>
      <c r="E377" s="4">
        <v>46214</v>
      </c>
      <c r="H377" s="3" t="str">
        <f>IF(OR(Table1[[#This Row],[US Holiday]]&lt;&gt;"", Table1[[#This Row],[India Holiday]]&lt;&gt;""), "Yes", "No")</f>
        <v>No</v>
      </c>
      <c r="I377" s="2" t="str">
        <f>IF(
  AND(
    WORKDAY(E377-1,1)=E377,
    _xlfn.CONCAT(F377:G377)=""
  ),
  _xlfn.MAXIFS(I$2:I376,C$2:C376,C377,B$2:B376,B377)+1,
  ""
)</f>
        <v/>
      </c>
    </row>
    <row r="378" spans="2:9" x14ac:dyDescent="0.25">
      <c r="B378" s="2">
        <f t="shared" si="17"/>
        <v>2026</v>
      </c>
      <c r="C378" s="2" t="str">
        <f t="shared" si="16"/>
        <v>July</v>
      </c>
      <c r="D378" s="2" t="str">
        <f t="shared" si="18"/>
        <v>Sunday</v>
      </c>
      <c r="E378" s="4">
        <v>46215</v>
      </c>
      <c r="H378" s="3" t="str">
        <f>IF(OR(Table1[[#This Row],[US Holiday]]&lt;&gt;"", Table1[[#This Row],[India Holiday]]&lt;&gt;""), "Yes", "No")</f>
        <v>No</v>
      </c>
      <c r="I378" s="2" t="str">
        <f>IF(
  AND(
    WORKDAY(E378-1,1)=E378,
    _xlfn.CONCAT(F378:G378)=""
  ),
  _xlfn.MAXIFS(I$2:I377,C$2:C377,C378,B$2:B377,B378)+1,
  ""
)</f>
        <v/>
      </c>
    </row>
    <row r="379" spans="2:9" x14ac:dyDescent="0.25">
      <c r="B379" s="2">
        <f t="shared" si="17"/>
        <v>2026</v>
      </c>
      <c r="C379" s="2" t="str">
        <f t="shared" si="16"/>
        <v>July</v>
      </c>
      <c r="D379" s="2" t="str">
        <f t="shared" si="18"/>
        <v>Monday</v>
      </c>
      <c r="E379" s="4">
        <v>46216</v>
      </c>
      <c r="H379" s="3" t="str">
        <f>IF(OR(Table1[[#This Row],[US Holiday]]&lt;&gt;"", Table1[[#This Row],[India Holiday]]&lt;&gt;""), "Yes", "No")</f>
        <v>No</v>
      </c>
      <c r="I379" s="2">
        <f>IF(
  AND(
    WORKDAY(E379-1,1)=E379,
    _xlfn.CONCAT(F379:G379)=""
  ),
  _xlfn.MAXIFS(I$2:I378,C$2:C378,C379,B$2:B378,B379)+1,
  ""
)</f>
        <v>9</v>
      </c>
    </row>
    <row r="380" spans="2:9" x14ac:dyDescent="0.25">
      <c r="B380" s="2">
        <f t="shared" si="17"/>
        <v>2026</v>
      </c>
      <c r="C380" s="2" t="str">
        <f t="shared" si="16"/>
        <v>July</v>
      </c>
      <c r="D380" s="2" t="str">
        <f t="shared" si="18"/>
        <v>Tuesday</v>
      </c>
      <c r="E380" s="4">
        <v>46217</v>
      </c>
      <c r="H380" s="3" t="str">
        <f>IF(OR(Table1[[#This Row],[US Holiday]]&lt;&gt;"", Table1[[#This Row],[India Holiday]]&lt;&gt;""), "Yes", "No")</f>
        <v>No</v>
      </c>
      <c r="I380" s="2">
        <f>IF(
  AND(
    WORKDAY(E380-1,1)=E380,
    _xlfn.CONCAT(F380:G380)=""
  ),
  _xlfn.MAXIFS(I$2:I379,C$2:C379,C380,B$2:B379,B380)+1,
  ""
)</f>
        <v>10</v>
      </c>
    </row>
    <row r="381" spans="2:9" x14ac:dyDescent="0.25">
      <c r="B381" s="2">
        <f t="shared" si="17"/>
        <v>2026</v>
      </c>
      <c r="C381" s="2" t="str">
        <f t="shared" si="16"/>
        <v>July</v>
      </c>
      <c r="D381" s="2" t="str">
        <f t="shared" si="18"/>
        <v>Wednesday</v>
      </c>
      <c r="E381" s="4">
        <v>46218</v>
      </c>
      <c r="H381" s="3" t="str">
        <f>IF(OR(Table1[[#This Row],[US Holiday]]&lt;&gt;"", Table1[[#This Row],[India Holiday]]&lt;&gt;""), "Yes", "No")</f>
        <v>No</v>
      </c>
      <c r="I381" s="2">
        <f>IF(
  AND(
    WORKDAY(E381-1,1)=E381,
    _xlfn.CONCAT(F381:G381)=""
  ),
  _xlfn.MAXIFS(I$2:I380,C$2:C380,C381,B$2:B380,B381)+1,
  ""
)</f>
        <v>11</v>
      </c>
    </row>
    <row r="382" spans="2:9" x14ac:dyDescent="0.25">
      <c r="B382" s="2">
        <f t="shared" si="17"/>
        <v>2026</v>
      </c>
      <c r="C382" s="2" t="str">
        <f t="shared" si="16"/>
        <v>July</v>
      </c>
      <c r="D382" s="2" t="str">
        <f t="shared" si="18"/>
        <v>Thursday</v>
      </c>
      <c r="E382" s="4">
        <v>46219</v>
      </c>
      <c r="H382" s="3" t="str">
        <f>IF(OR(Table1[[#This Row],[US Holiday]]&lt;&gt;"", Table1[[#This Row],[India Holiday]]&lt;&gt;""), "Yes", "No")</f>
        <v>No</v>
      </c>
      <c r="I382" s="2">
        <f>IF(
  AND(
    WORKDAY(E382-1,1)=E382,
    _xlfn.CONCAT(F382:G382)=""
  ),
  _xlfn.MAXIFS(I$2:I381,C$2:C381,C382,B$2:B381,B382)+1,
  ""
)</f>
        <v>12</v>
      </c>
    </row>
    <row r="383" spans="2:9" x14ac:dyDescent="0.25">
      <c r="B383" s="2">
        <f t="shared" si="17"/>
        <v>2026</v>
      </c>
      <c r="C383" s="2" t="str">
        <f t="shared" si="16"/>
        <v>July</v>
      </c>
      <c r="D383" s="2" t="str">
        <f t="shared" si="18"/>
        <v>Friday</v>
      </c>
      <c r="E383" s="4">
        <v>46220</v>
      </c>
      <c r="H383" s="3" t="str">
        <f>IF(OR(Table1[[#This Row],[US Holiday]]&lt;&gt;"", Table1[[#This Row],[India Holiday]]&lt;&gt;""), "Yes", "No")</f>
        <v>No</v>
      </c>
      <c r="I383" s="2">
        <f>IF(
  AND(
    WORKDAY(E383-1,1)=E383,
    _xlfn.CONCAT(F383:G383)=""
  ),
  _xlfn.MAXIFS(I$2:I382,C$2:C382,C383,B$2:B382,B383)+1,
  ""
)</f>
        <v>13</v>
      </c>
    </row>
    <row r="384" spans="2:9" x14ac:dyDescent="0.25">
      <c r="B384" s="2">
        <f t="shared" si="17"/>
        <v>2026</v>
      </c>
      <c r="C384" s="2" t="str">
        <f t="shared" si="16"/>
        <v>July</v>
      </c>
      <c r="D384" s="2" t="str">
        <f t="shared" si="18"/>
        <v>Saturday</v>
      </c>
      <c r="E384" s="4">
        <v>46221</v>
      </c>
      <c r="H384" s="3" t="str">
        <f>IF(OR(Table1[[#This Row],[US Holiday]]&lt;&gt;"", Table1[[#This Row],[India Holiday]]&lt;&gt;""), "Yes", "No")</f>
        <v>No</v>
      </c>
      <c r="I384" s="2" t="str">
        <f>IF(
  AND(
    WORKDAY(E384-1,1)=E384,
    _xlfn.CONCAT(F384:G384)=""
  ),
  _xlfn.MAXIFS(I$2:I383,C$2:C383,C384,B$2:B383,B384)+1,
  ""
)</f>
        <v/>
      </c>
    </row>
    <row r="385" spans="2:9" x14ac:dyDescent="0.25">
      <c r="B385" s="2">
        <f t="shared" si="17"/>
        <v>2026</v>
      </c>
      <c r="C385" s="2" t="str">
        <f t="shared" ref="C385:C448" si="19">TEXT(E385,"mmmm")</f>
        <v>July</v>
      </c>
      <c r="D385" s="2" t="str">
        <f t="shared" si="18"/>
        <v>Sunday</v>
      </c>
      <c r="E385" s="4">
        <v>46222</v>
      </c>
      <c r="H385" s="3" t="str">
        <f>IF(OR(Table1[[#This Row],[US Holiday]]&lt;&gt;"", Table1[[#This Row],[India Holiday]]&lt;&gt;""), "Yes", "No")</f>
        <v>No</v>
      </c>
      <c r="I385" s="2" t="str">
        <f>IF(
  AND(
    WORKDAY(E385-1,1)=E385,
    _xlfn.CONCAT(F385:G385)=""
  ),
  _xlfn.MAXIFS(I$2:I384,C$2:C384,C385,B$2:B384,B385)+1,
  ""
)</f>
        <v/>
      </c>
    </row>
    <row r="386" spans="2:9" x14ac:dyDescent="0.25">
      <c r="B386" s="2">
        <f t="shared" si="17"/>
        <v>2026</v>
      </c>
      <c r="C386" s="2" t="str">
        <f t="shared" si="19"/>
        <v>July</v>
      </c>
      <c r="D386" s="2" t="str">
        <f t="shared" si="18"/>
        <v>Monday</v>
      </c>
      <c r="E386" s="4">
        <v>46223</v>
      </c>
      <c r="H386" s="3" t="str">
        <f>IF(OR(Table1[[#This Row],[US Holiday]]&lt;&gt;"", Table1[[#This Row],[India Holiday]]&lt;&gt;""), "Yes", "No")</f>
        <v>No</v>
      </c>
      <c r="I386" s="2">
        <f>IF(
  AND(
    WORKDAY(E386-1,1)=E386,
    _xlfn.CONCAT(F386:G386)=""
  ),
  _xlfn.MAXIFS(I$2:I385,C$2:C385,C386,B$2:B385,B386)+1,
  ""
)</f>
        <v>14</v>
      </c>
    </row>
    <row r="387" spans="2:9" x14ac:dyDescent="0.25">
      <c r="B387" s="2">
        <f t="shared" ref="B387:B450" si="20">YEAR(E387)</f>
        <v>2026</v>
      </c>
      <c r="C387" s="2" t="str">
        <f t="shared" si="19"/>
        <v>July</v>
      </c>
      <c r="D387" s="2" t="str">
        <f t="shared" ref="D387:D450" si="21">TEXT(E387,"dddd")</f>
        <v>Tuesday</v>
      </c>
      <c r="E387" s="4">
        <v>46224</v>
      </c>
      <c r="H387" s="3" t="str">
        <f>IF(OR(Table1[[#This Row],[US Holiday]]&lt;&gt;"", Table1[[#This Row],[India Holiday]]&lt;&gt;""), "Yes", "No")</f>
        <v>No</v>
      </c>
      <c r="I387" s="2">
        <f>IF(
  AND(
    WORKDAY(E387-1,1)=E387,
    _xlfn.CONCAT(F387:G387)=""
  ),
  _xlfn.MAXIFS(I$2:I386,C$2:C386,C387,B$2:B386,B387)+1,
  ""
)</f>
        <v>15</v>
      </c>
    </row>
    <row r="388" spans="2:9" x14ac:dyDescent="0.25">
      <c r="B388" s="2">
        <f t="shared" si="20"/>
        <v>2026</v>
      </c>
      <c r="C388" s="2" t="str">
        <f t="shared" si="19"/>
        <v>July</v>
      </c>
      <c r="D388" s="2" t="str">
        <f t="shared" si="21"/>
        <v>Wednesday</v>
      </c>
      <c r="E388" s="4">
        <v>46225</v>
      </c>
      <c r="H388" s="3" t="str">
        <f>IF(OR(Table1[[#This Row],[US Holiday]]&lt;&gt;"", Table1[[#This Row],[India Holiday]]&lt;&gt;""), "Yes", "No")</f>
        <v>No</v>
      </c>
      <c r="I388" s="2">
        <f>IF(
  AND(
    WORKDAY(E388-1,1)=E388,
    _xlfn.CONCAT(F388:G388)=""
  ),
  _xlfn.MAXIFS(I$2:I387,C$2:C387,C388,B$2:B387,B388)+1,
  ""
)</f>
        <v>16</v>
      </c>
    </row>
    <row r="389" spans="2:9" x14ac:dyDescent="0.25">
      <c r="B389" s="2">
        <f t="shared" si="20"/>
        <v>2026</v>
      </c>
      <c r="C389" s="2" t="str">
        <f t="shared" si="19"/>
        <v>July</v>
      </c>
      <c r="D389" s="2" t="str">
        <f t="shared" si="21"/>
        <v>Thursday</v>
      </c>
      <c r="E389" s="4">
        <v>46226</v>
      </c>
      <c r="H389" s="3" t="str">
        <f>IF(OR(Table1[[#This Row],[US Holiday]]&lt;&gt;"", Table1[[#This Row],[India Holiday]]&lt;&gt;""), "Yes", "No")</f>
        <v>No</v>
      </c>
      <c r="I389" s="2">
        <f>IF(
  AND(
    WORKDAY(E389-1,1)=E389,
    _xlfn.CONCAT(F389:G389)=""
  ),
  _xlfn.MAXIFS(I$2:I388,C$2:C388,C389,B$2:B388,B389)+1,
  ""
)</f>
        <v>17</v>
      </c>
    </row>
    <row r="390" spans="2:9" x14ac:dyDescent="0.25">
      <c r="B390" s="2">
        <f t="shared" si="20"/>
        <v>2026</v>
      </c>
      <c r="C390" s="2" t="str">
        <f t="shared" si="19"/>
        <v>July</v>
      </c>
      <c r="D390" s="2" t="str">
        <f t="shared" si="21"/>
        <v>Friday</v>
      </c>
      <c r="E390" s="4">
        <v>46227</v>
      </c>
      <c r="H390" s="3" t="str">
        <f>IF(OR(Table1[[#This Row],[US Holiday]]&lt;&gt;"", Table1[[#This Row],[India Holiday]]&lt;&gt;""), "Yes", "No")</f>
        <v>No</v>
      </c>
      <c r="I390" s="2">
        <f>IF(
  AND(
    WORKDAY(E390-1,1)=E390,
    _xlfn.CONCAT(F390:G390)=""
  ),
  _xlfn.MAXIFS(I$2:I389,C$2:C389,C390,B$2:B389,B390)+1,
  ""
)</f>
        <v>18</v>
      </c>
    </row>
    <row r="391" spans="2:9" x14ac:dyDescent="0.25">
      <c r="B391" s="2">
        <f t="shared" si="20"/>
        <v>2026</v>
      </c>
      <c r="C391" s="2" t="str">
        <f t="shared" si="19"/>
        <v>July</v>
      </c>
      <c r="D391" s="2" t="str">
        <f t="shared" si="21"/>
        <v>Saturday</v>
      </c>
      <c r="E391" s="4">
        <v>46228</v>
      </c>
      <c r="H391" s="3" t="str">
        <f>IF(OR(Table1[[#This Row],[US Holiday]]&lt;&gt;"", Table1[[#This Row],[India Holiday]]&lt;&gt;""), "Yes", "No")</f>
        <v>No</v>
      </c>
      <c r="I391" s="2" t="str">
        <f>IF(
  AND(
    WORKDAY(E391-1,1)=E391,
    _xlfn.CONCAT(F391:G391)=""
  ),
  _xlfn.MAXIFS(I$2:I390,C$2:C390,C391,B$2:B390,B391)+1,
  ""
)</f>
        <v/>
      </c>
    </row>
    <row r="392" spans="2:9" x14ac:dyDescent="0.25">
      <c r="B392" s="2">
        <f t="shared" si="20"/>
        <v>2026</v>
      </c>
      <c r="C392" s="2" t="str">
        <f t="shared" si="19"/>
        <v>July</v>
      </c>
      <c r="D392" s="2" t="str">
        <f t="shared" si="21"/>
        <v>Sunday</v>
      </c>
      <c r="E392" s="4">
        <v>46229</v>
      </c>
      <c r="H392" s="3" t="str">
        <f>IF(OR(Table1[[#This Row],[US Holiday]]&lt;&gt;"", Table1[[#This Row],[India Holiday]]&lt;&gt;""), "Yes", "No")</f>
        <v>No</v>
      </c>
      <c r="I392" s="2" t="str">
        <f>IF(
  AND(
    WORKDAY(E392-1,1)=E392,
    _xlfn.CONCAT(F392:G392)=""
  ),
  _xlfn.MAXIFS(I$2:I391,C$2:C391,C392,B$2:B391,B392)+1,
  ""
)</f>
        <v/>
      </c>
    </row>
    <row r="393" spans="2:9" x14ac:dyDescent="0.25">
      <c r="B393" s="2">
        <f t="shared" si="20"/>
        <v>2026</v>
      </c>
      <c r="C393" s="2" t="str">
        <f t="shared" si="19"/>
        <v>July</v>
      </c>
      <c r="D393" s="2" t="str">
        <f t="shared" si="21"/>
        <v>Monday</v>
      </c>
      <c r="E393" s="4">
        <v>46230</v>
      </c>
      <c r="H393" s="3" t="str">
        <f>IF(OR(Table1[[#This Row],[US Holiday]]&lt;&gt;"", Table1[[#This Row],[India Holiday]]&lt;&gt;""), "Yes", "No")</f>
        <v>No</v>
      </c>
      <c r="I393" s="2">
        <f>IF(
  AND(
    WORKDAY(E393-1,1)=E393,
    _xlfn.CONCAT(F393:G393)=""
  ),
  _xlfn.MAXIFS(I$2:I392,C$2:C392,C393,B$2:B392,B393)+1,
  ""
)</f>
        <v>19</v>
      </c>
    </row>
    <row r="394" spans="2:9" x14ac:dyDescent="0.25">
      <c r="B394" s="2">
        <f t="shared" si="20"/>
        <v>2026</v>
      </c>
      <c r="C394" s="2" t="str">
        <f t="shared" si="19"/>
        <v>July</v>
      </c>
      <c r="D394" s="2" t="str">
        <f t="shared" si="21"/>
        <v>Tuesday</v>
      </c>
      <c r="E394" s="4">
        <v>46231</v>
      </c>
      <c r="H394" s="3" t="str">
        <f>IF(OR(Table1[[#This Row],[US Holiday]]&lt;&gt;"", Table1[[#This Row],[India Holiday]]&lt;&gt;""), "Yes", "No")</f>
        <v>No</v>
      </c>
      <c r="I394" s="2">
        <f>IF(
  AND(
    WORKDAY(E394-1,1)=E394,
    _xlfn.CONCAT(F394:G394)=""
  ),
  _xlfn.MAXIFS(I$2:I393,C$2:C393,C394,B$2:B393,B394)+1,
  ""
)</f>
        <v>20</v>
      </c>
    </row>
    <row r="395" spans="2:9" x14ac:dyDescent="0.25">
      <c r="B395" s="2">
        <f t="shared" si="20"/>
        <v>2026</v>
      </c>
      <c r="C395" s="2" t="str">
        <f t="shared" si="19"/>
        <v>July</v>
      </c>
      <c r="D395" s="2" t="str">
        <f t="shared" si="21"/>
        <v>Wednesday</v>
      </c>
      <c r="E395" s="4">
        <v>46232</v>
      </c>
      <c r="H395" s="3" t="str">
        <f>IF(OR(Table1[[#This Row],[US Holiday]]&lt;&gt;"", Table1[[#This Row],[India Holiday]]&lt;&gt;""), "Yes", "No")</f>
        <v>No</v>
      </c>
      <c r="I395" s="2">
        <f>IF(
  AND(
    WORKDAY(E395-1,1)=E395,
    _xlfn.CONCAT(F395:G395)=""
  ),
  _xlfn.MAXIFS(I$2:I394,C$2:C394,C395,B$2:B394,B395)+1,
  ""
)</f>
        <v>21</v>
      </c>
    </row>
    <row r="396" spans="2:9" x14ac:dyDescent="0.25">
      <c r="B396" s="2">
        <f t="shared" si="20"/>
        <v>2026</v>
      </c>
      <c r="C396" s="2" t="str">
        <f t="shared" si="19"/>
        <v>July</v>
      </c>
      <c r="D396" s="2" t="str">
        <f t="shared" si="21"/>
        <v>Thursday</v>
      </c>
      <c r="E396" s="4">
        <v>46233</v>
      </c>
      <c r="H396" s="3" t="str">
        <f>IF(OR(Table1[[#This Row],[US Holiday]]&lt;&gt;"", Table1[[#This Row],[India Holiday]]&lt;&gt;""), "Yes", "No")</f>
        <v>No</v>
      </c>
      <c r="I396" s="2">
        <f>IF(
  AND(
    WORKDAY(E396-1,1)=E396,
    _xlfn.CONCAT(F396:G396)=""
  ),
  _xlfn.MAXIFS(I$2:I395,C$2:C395,C396,B$2:B395,B396)+1,
  ""
)</f>
        <v>22</v>
      </c>
    </row>
    <row r="397" spans="2:9" x14ac:dyDescent="0.25">
      <c r="B397" s="2">
        <f t="shared" si="20"/>
        <v>2026</v>
      </c>
      <c r="C397" s="2" t="str">
        <f t="shared" si="19"/>
        <v>July</v>
      </c>
      <c r="D397" s="2" t="str">
        <f t="shared" si="21"/>
        <v>Friday</v>
      </c>
      <c r="E397" s="4">
        <v>46234</v>
      </c>
      <c r="H397" s="3" t="str">
        <f>IF(OR(Table1[[#This Row],[US Holiday]]&lt;&gt;"", Table1[[#This Row],[India Holiday]]&lt;&gt;""), "Yes", "No")</f>
        <v>No</v>
      </c>
      <c r="I397" s="2">
        <f>IF(
  AND(
    WORKDAY(E397-1,1)=E397,
    _xlfn.CONCAT(F397:G397)=""
  ),
  _xlfn.MAXIFS(I$2:I396,C$2:C396,C397,B$2:B396,B397)+1,
  ""
)</f>
        <v>23</v>
      </c>
    </row>
    <row r="398" spans="2:9" x14ac:dyDescent="0.25">
      <c r="B398" s="2">
        <f t="shared" si="20"/>
        <v>2026</v>
      </c>
      <c r="C398" s="2" t="str">
        <f t="shared" si="19"/>
        <v>August</v>
      </c>
      <c r="D398" s="2" t="str">
        <f t="shared" si="21"/>
        <v>Saturday</v>
      </c>
      <c r="E398" s="4">
        <v>46235</v>
      </c>
      <c r="H398" s="3" t="str">
        <f>IF(OR(Table1[[#This Row],[US Holiday]]&lt;&gt;"", Table1[[#This Row],[India Holiday]]&lt;&gt;""), "Yes", "No")</f>
        <v>No</v>
      </c>
      <c r="I398" s="2" t="str">
        <f>IF(
  AND(
    WORKDAY(E398-1,1)=E398,
    _xlfn.CONCAT(F398:G398)=""
  ),
  _xlfn.MAXIFS(I$2:I397,C$2:C397,C398,B$2:B397,B398)+1,
  ""
)</f>
        <v/>
      </c>
    </row>
    <row r="399" spans="2:9" x14ac:dyDescent="0.25">
      <c r="B399" s="2">
        <f t="shared" si="20"/>
        <v>2026</v>
      </c>
      <c r="C399" s="2" t="str">
        <f t="shared" si="19"/>
        <v>August</v>
      </c>
      <c r="D399" s="2" t="str">
        <f t="shared" si="21"/>
        <v>Sunday</v>
      </c>
      <c r="E399" s="4">
        <v>46236</v>
      </c>
      <c r="H399" s="3" t="str">
        <f>IF(OR(Table1[[#This Row],[US Holiday]]&lt;&gt;"", Table1[[#This Row],[India Holiday]]&lt;&gt;""), "Yes", "No")</f>
        <v>No</v>
      </c>
      <c r="I399" s="2" t="str">
        <f>IF(
  AND(
    WORKDAY(E399-1,1)=E399,
    _xlfn.CONCAT(F399:G399)=""
  ),
  _xlfn.MAXIFS(I$2:I398,C$2:C398,C399,B$2:B398,B399)+1,
  ""
)</f>
        <v/>
      </c>
    </row>
    <row r="400" spans="2:9" x14ac:dyDescent="0.25">
      <c r="B400" s="2">
        <f t="shared" si="20"/>
        <v>2026</v>
      </c>
      <c r="C400" s="2" t="str">
        <f t="shared" si="19"/>
        <v>August</v>
      </c>
      <c r="D400" s="2" t="str">
        <f t="shared" si="21"/>
        <v>Monday</v>
      </c>
      <c r="E400" s="4">
        <v>46237</v>
      </c>
      <c r="H400" s="3" t="str">
        <f>IF(OR(Table1[[#This Row],[US Holiday]]&lt;&gt;"", Table1[[#This Row],[India Holiday]]&lt;&gt;""), "Yes", "No")</f>
        <v>No</v>
      </c>
      <c r="I400" s="2">
        <f>IF(
  AND(
    WORKDAY(E400-1,1)=E400,
    _xlfn.CONCAT(F400:G400)=""
  ),
  _xlfn.MAXIFS(I$2:I399,C$2:C399,C400,B$2:B399,B400)+1,
  ""
)</f>
        <v>1</v>
      </c>
    </row>
    <row r="401" spans="2:9" x14ac:dyDescent="0.25">
      <c r="B401" s="2">
        <f t="shared" si="20"/>
        <v>2026</v>
      </c>
      <c r="C401" s="2" t="str">
        <f t="shared" si="19"/>
        <v>August</v>
      </c>
      <c r="D401" s="2" t="str">
        <f t="shared" si="21"/>
        <v>Tuesday</v>
      </c>
      <c r="E401" s="4">
        <v>46238</v>
      </c>
      <c r="H401" s="3" t="str">
        <f>IF(OR(Table1[[#This Row],[US Holiday]]&lt;&gt;"", Table1[[#This Row],[India Holiday]]&lt;&gt;""), "Yes", "No")</f>
        <v>No</v>
      </c>
      <c r="I401" s="2">
        <f>IF(
  AND(
    WORKDAY(E401-1,1)=E401,
    _xlfn.CONCAT(F401:G401)=""
  ),
  _xlfn.MAXIFS(I$2:I400,C$2:C400,C401,B$2:B400,B401)+1,
  ""
)</f>
        <v>2</v>
      </c>
    </row>
    <row r="402" spans="2:9" x14ac:dyDescent="0.25">
      <c r="B402" s="2">
        <f t="shared" si="20"/>
        <v>2026</v>
      </c>
      <c r="C402" s="2" t="str">
        <f t="shared" si="19"/>
        <v>August</v>
      </c>
      <c r="D402" s="2" t="str">
        <f t="shared" si="21"/>
        <v>Wednesday</v>
      </c>
      <c r="E402" s="4">
        <v>46239</v>
      </c>
      <c r="H402" s="3" t="str">
        <f>IF(OR(Table1[[#This Row],[US Holiday]]&lt;&gt;"", Table1[[#This Row],[India Holiday]]&lt;&gt;""), "Yes", "No")</f>
        <v>No</v>
      </c>
      <c r="I402" s="2">
        <f>IF(
  AND(
    WORKDAY(E402-1,1)=E402,
    _xlfn.CONCAT(F402:G402)=""
  ),
  _xlfn.MAXIFS(I$2:I401,C$2:C401,C402,B$2:B401,B402)+1,
  ""
)</f>
        <v>3</v>
      </c>
    </row>
    <row r="403" spans="2:9" x14ac:dyDescent="0.25">
      <c r="B403" s="2">
        <f t="shared" si="20"/>
        <v>2026</v>
      </c>
      <c r="C403" s="2" t="str">
        <f t="shared" si="19"/>
        <v>August</v>
      </c>
      <c r="D403" s="2" t="str">
        <f t="shared" si="21"/>
        <v>Thursday</v>
      </c>
      <c r="E403" s="4">
        <v>46240</v>
      </c>
      <c r="H403" s="3" t="str">
        <f>IF(OR(Table1[[#This Row],[US Holiday]]&lt;&gt;"", Table1[[#This Row],[India Holiday]]&lt;&gt;""), "Yes", "No")</f>
        <v>No</v>
      </c>
      <c r="I403" s="2">
        <f>IF(
  AND(
    WORKDAY(E403-1,1)=E403,
    _xlfn.CONCAT(F403:G403)=""
  ),
  _xlfn.MAXIFS(I$2:I402,C$2:C402,C403,B$2:B402,B403)+1,
  ""
)</f>
        <v>4</v>
      </c>
    </row>
    <row r="404" spans="2:9" x14ac:dyDescent="0.25">
      <c r="B404" s="2">
        <f t="shared" si="20"/>
        <v>2026</v>
      </c>
      <c r="C404" s="2" t="str">
        <f t="shared" si="19"/>
        <v>August</v>
      </c>
      <c r="D404" s="2" t="str">
        <f t="shared" si="21"/>
        <v>Friday</v>
      </c>
      <c r="E404" s="4">
        <v>46241</v>
      </c>
      <c r="H404" s="3" t="str">
        <f>IF(OR(Table1[[#This Row],[US Holiday]]&lt;&gt;"", Table1[[#This Row],[India Holiday]]&lt;&gt;""), "Yes", "No")</f>
        <v>No</v>
      </c>
      <c r="I404" s="2">
        <f>IF(
  AND(
    WORKDAY(E404-1,1)=E404,
    _xlfn.CONCAT(F404:G404)=""
  ),
  _xlfn.MAXIFS(I$2:I403,C$2:C403,C404,B$2:B403,B404)+1,
  ""
)</f>
        <v>5</v>
      </c>
    </row>
    <row r="405" spans="2:9" x14ac:dyDescent="0.25">
      <c r="B405" s="2">
        <f t="shared" si="20"/>
        <v>2026</v>
      </c>
      <c r="C405" s="2" t="str">
        <f t="shared" si="19"/>
        <v>August</v>
      </c>
      <c r="D405" s="2" t="str">
        <f t="shared" si="21"/>
        <v>Saturday</v>
      </c>
      <c r="E405" s="4">
        <v>46242</v>
      </c>
      <c r="H405" s="3" t="str">
        <f>IF(OR(Table1[[#This Row],[US Holiday]]&lt;&gt;"", Table1[[#This Row],[India Holiday]]&lt;&gt;""), "Yes", "No")</f>
        <v>No</v>
      </c>
      <c r="I405" s="2" t="str">
        <f>IF(
  AND(
    WORKDAY(E405-1,1)=E405,
    _xlfn.CONCAT(F405:G405)=""
  ),
  _xlfn.MAXIFS(I$2:I404,C$2:C404,C405,B$2:B404,B405)+1,
  ""
)</f>
        <v/>
      </c>
    </row>
    <row r="406" spans="2:9" x14ac:dyDescent="0.25">
      <c r="B406" s="2">
        <f t="shared" si="20"/>
        <v>2026</v>
      </c>
      <c r="C406" s="2" t="str">
        <f t="shared" si="19"/>
        <v>August</v>
      </c>
      <c r="D406" s="2" t="str">
        <f t="shared" si="21"/>
        <v>Sunday</v>
      </c>
      <c r="E406" s="4">
        <v>46243</v>
      </c>
      <c r="H406" s="3" t="str">
        <f>IF(OR(Table1[[#This Row],[US Holiday]]&lt;&gt;"", Table1[[#This Row],[India Holiday]]&lt;&gt;""), "Yes", "No")</f>
        <v>No</v>
      </c>
      <c r="I406" s="2" t="str">
        <f>IF(
  AND(
    WORKDAY(E406-1,1)=E406,
    _xlfn.CONCAT(F406:G406)=""
  ),
  _xlfn.MAXIFS(I$2:I405,C$2:C405,C406,B$2:B405,B406)+1,
  ""
)</f>
        <v/>
      </c>
    </row>
    <row r="407" spans="2:9" x14ac:dyDescent="0.25">
      <c r="B407" s="2">
        <f t="shared" si="20"/>
        <v>2026</v>
      </c>
      <c r="C407" s="2" t="str">
        <f t="shared" si="19"/>
        <v>August</v>
      </c>
      <c r="D407" s="2" t="str">
        <f t="shared" si="21"/>
        <v>Monday</v>
      </c>
      <c r="E407" s="4">
        <v>46244</v>
      </c>
      <c r="H407" s="3" t="str">
        <f>IF(OR(Table1[[#This Row],[US Holiday]]&lt;&gt;"", Table1[[#This Row],[India Holiday]]&lt;&gt;""), "Yes", "No")</f>
        <v>No</v>
      </c>
      <c r="I407" s="2">
        <f>IF(
  AND(
    WORKDAY(E407-1,1)=E407,
    _xlfn.CONCAT(F407:G407)=""
  ),
  _xlfn.MAXIFS(I$2:I406,C$2:C406,C407,B$2:B406,B407)+1,
  ""
)</f>
        <v>6</v>
      </c>
    </row>
    <row r="408" spans="2:9" x14ac:dyDescent="0.25">
      <c r="B408" s="2">
        <f t="shared" si="20"/>
        <v>2026</v>
      </c>
      <c r="C408" s="2" t="str">
        <f t="shared" si="19"/>
        <v>August</v>
      </c>
      <c r="D408" s="2" t="str">
        <f t="shared" si="21"/>
        <v>Tuesday</v>
      </c>
      <c r="E408" s="4">
        <v>46245</v>
      </c>
      <c r="H408" s="3" t="str">
        <f>IF(OR(Table1[[#This Row],[US Holiday]]&lt;&gt;"", Table1[[#This Row],[India Holiday]]&lt;&gt;""), "Yes", "No")</f>
        <v>No</v>
      </c>
      <c r="I408" s="2">
        <f>IF(
  AND(
    WORKDAY(E408-1,1)=E408,
    _xlfn.CONCAT(F408:G408)=""
  ),
  _xlfn.MAXIFS(I$2:I407,C$2:C407,C408,B$2:B407,B408)+1,
  ""
)</f>
        <v>7</v>
      </c>
    </row>
    <row r="409" spans="2:9" x14ac:dyDescent="0.25">
      <c r="B409" s="2">
        <f t="shared" si="20"/>
        <v>2026</v>
      </c>
      <c r="C409" s="2" t="str">
        <f t="shared" si="19"/>
        <v>August</v>
      </c>
      <c r="D409" s="2" t="str">
        <f t="shared" si="21"/>
        <v>Wednesday</v>
      </c>
      <c r="E409" s="4">
        <v>46246</v>
      </c>
      <c r="H409" s="3" t="str">
        <f>IF(OR(Table1[[#This Row],[US Holiday]]&lt;&gt;"", Table1[[#This Row],[India Holiday]]&lt;&gt;""), "Yes", "No")</f>
        <v>No</v>
      </c>
      <c r="I409" s="2">
        <f>IF(
  AND(
    WORKDAY(E409-1,1)=E409,
    _xlfn.CONCAT(F409:G409)=""
  ),
  _xlfn.MAXIFS(I$2:I408,C$2:C408,C409,B$2:B408,B409)+1,
  ""
)</f>
        <v>8</v>
      </c>
    </row>
    <row r="410" spans="2:9" x14ac:dyDescent="0.25">
      <c r="B410" s="2">
        <f t="shared" si="20"/>
        <v>2026</v>
      </c>
      <c r="C410" s="2" t="str">
        <f t="shared" si="19"/>
        <v>August</v>
      </c>
      <c r="D410" s="2" t="str">
        <f t="shared" si="21"/>
        <v>Thursday</v>
      </c>
      <c r="E410" s="4">
        <v>46247</v>
      </c>
      <c r="H410" s="3" t="str">
        <f>IF(OR(Table1[[#This Row],[US Holiday]]&lt;&gt;"", Table1[[#This Row],[India Holiday]]&lt;&gt;""), "Yes", "No")</f>
        <v>No</v>
      </c>
      <c r="I410" s="2">
        <f>IF(
  AND(
    WORKDAY(E410-1,1)=E410,
    _xlfn.CONCAT(F410:G410)=""
  ),
  _xlfn.MAXIFS(I$2:I409,C$2:C409,C410,B$2:B409,B410)+1,
  ""
)</f>
        <v>9</v>
      </c>
    </row>
    <row r="411" spans="2:9" x14ac:dyDescent="0.25">
      <c r="B411" s="2">
        <f t="shared" si="20"/>
        <v>2026</v>
      </c>
      <c r="C411" s="2" t="str">
        <f t="shared" si="19"/>
        <v>August</v>
      </c>
      <c r="D411" s="2" t="str">
        <f t="shared" si="21"/>
        <v>Friday</v>
      </c>
      <c r="E411" s="4">
        <v>46248</v>
      </c>
      <c r="H411" s="3" t="str">
        <f>IF(OR(Table1[[#This Row],[US Holiday]]&lt;&gt;"", Table1[[#This Row],[India Holiday]]&lt;&gt;""), "Yes", "No")</f>
        <v>No</v>
      </c>
      <c r="I411" s="2">
        <f>IF(
  AND(
    WORKDAY(E411-1,1)=E411,
    _xlfn.CONCAT(F411:G411)=""
  ),
  _xlfn.MAXIFS(I$2:I410,C$2:C410,C411,B$2:B410,B411)+1,
  ""
)</f>
        <v>10</v>
      </c>
    </row>
    <row r="412" spans="2:9" x14ac:dyDescent="0.25">
      <c r="B412" s="2">
        <f t="shared" si="20"/>
        <v>2026</v>
      </c>
      <c r="C412" s="2" t="str">
        <f t="shared" si="19"/>
        <v>August</v>
      </c>
      <c r="D412" s="2" t="str">
        <f t="shared" si="21"/>
        <v>Saturday</v>
      </c>
      <c r="E412" s="4">
        <v>46249</v>
      </c>
      <c r="H412" s="3" t="str">
        <f>IF(OR(Table1[[#This Row],[US Holiday]]&lt;&gt;"", Table1[[#This Row],[India Holiday]]&lt;&gt;""), "Yes", "No")</f>
        <v>No</v>
      </c>
      <c r="I412" s="2" t="str">
        <f>IF(
  AND(
    WORKDAY(E412-1,1)=E412,
    _xlfn.CONCAT(F412:G412)=""
  ),
  _xlfn.MAXIFS(I$2:I411,C$2:C411,C412,B$2:B411,B412)+1,
  ""
)</f>
        <v/>
      </c>
    </row>
    <row r="413" spans="2:9" x14ac:dyDescent="0.25">
      <c r="B413" s="2">
        <f t="shared" si="20"/>
        <v>2026</v>
      </c>
      <c r="C413" s="2" t="str">
        <f t="shared" si="19"/>
        <v>August</v>
      </c>
      <c r="D413" s="2" t="str">
        <f t="shared" si="21"/>
        <v>Sunday</v>
      </c>
      <c r="E413" s="4">
        <v>46250</v>
      </c>
      <c r="H413" s="3" t="str">
        <f>IF(OR(Table1[[#This Row],[US Holiday]]&lt;&gt;"", Table1[[#This Row],[India Holiday]]&lt;&gt;""), "Yes", "No")</f>
        <v>No</v>
      </c>
      <c r="I413" s="2" t="str">
        <f>IF(
  AND(
    WORKDAY(E413-1,1)=E413,
    _xlfn.CONCAT(F413:G413)=""
  ),
  _xlfn.MAXIFS(I$2:I412,C$2:C412,C413,B$2:B412,B413)+1,
  ""
)</f>
        <v/>
      </c>
    </row>
    <row r="414" spans="2:9" x14ac:dyDescent="0.25">
      <c r="B414" s="2">
        <f t="shared" si="20"/>
        <v>2026</v>
      </c>
      <c r="C414" s="2" t="str">
        <f t="shared" si="19"/>
        <v>August</v>
      </c>
      <c r="D414" s="2" t="str">
        <f t="shared" si="21"/>
        <v>Monday</v>
      </c>
      <c r="E414" s="4">
        <v>46251</v>
      </c>
      <c r="H414" s="3" t="str">
        <f>IF(OR(Table1[[#This Row],[US Holiday]]&lt;&gt;"", Table1[[#This Row],[India Holiday]]&lt;&gt;""), "Yes", "No")</f>
        <v>No</v>
      </c>
      <c r="I414" s="2">
        <f>IF(
  AND(
    WORKDAY(E414-1,1)=E414,
    _xlfn.CONCAT(F414:G414)=""
  ),
  _xlfn.MAXIFS(I$2:I413,C$2:C413,C414,B$2:B413,B414)+1,
  ""
)</f>
        <v>11</v>
      </c>
    </row>
    <row r="415" spans="2:9" x14ac:dyDescent="0.25">
      <c r="B415" s="2">
        <f t="shared" si="20"/>
        <v>2026</v>
      </c>
      <c r="C415" s="2" t="str">
        <f t="shared" si="19"/>
        <v>August</v>
      </c>
      <c r="D415" s="2" t="str">
        <f t="shared" si="21"/>
        <v>Tuesday</v>
      </c>
      <c r="E415" s="4">
        <v>46252</v>
      </c>
      <c r="H415" s="3" t="str">
        <f>IF(OR(Table1[[#This Row],[US Holiday]]&lt;&gt;"", Table1[[#This Row],[India Holiday]]&lt;&gt;""), "Yes", "No")</f>
        <v>No</v>
      </c>
      <c r="I415" s="2">
        <f>IF(
  AND(
    WORKDAY(E415-1,1)=E415,
    _xlfn.CONCAT(F415:G415)=""
  ),
  _xlfn.MAXIFS(I$2:I414,C$2:C414,C415,B$2:B414,B415)+1,
  ""
)</f>
        <v>12</v>
      </c>
    </row>
    <row r="416" spans="2:9" x14ac:dyDescent="0.25">
      <c r="B416" s="2">
        <f t="shared" si="20"/>
        <v>2026</v>
      </c>
      <c r="C416" s="2" t="str">
        <f t="shared" si="19"/>
        <v>August</v>
      </c>
      <c r="D416" s="2" t="str">
        <f t="shared" si="21"/>
        <v>Wednesday</v>
      </c>
      <c r="E416" s="4">
        <v>46253</v>
      </c>
      <c r="H416" s="3" t="str">
        <f>IF(OR(Table1[[#This Row],[US Holiday]]&lt;&gt;"", Table1[[#This Row],[India Holiday]]&lt;&gt;""), "Yes", "No")</f>
        <v>No</v>
      </c>
      <c r="I416" s="2">
        <f>IF(
  AND(
    WORKDAY(E416-1,1)=E416,
    _xlfn.CONCAT(F416:G416)=""
  ),
  _xlfn.MAXIFS(I$2:I415,C$2:C415,C416,B$2:B415,B416)+1,
  ""
)</f>
        <v>13</v>
      </c>
    </row>
    <row r="417" spans="2:9" x14ac:dyDescent="0.25">
      <c r="B417" s="2">
        <f t="shared" si="20"/>
        <v>2026</v>
      </c>
      <c r="C417" s="2" t="str">
        <f t="shared" si="19"/>
        <v>August</v>
      </c>
      <c r="D417" s="2" t="str">
        <f t="shared" si="21"/>
        <v>Thursday</v>
      </c>
      <c r="E417" s="4">
        <v>46254</v>
      </c>
      <c r="H417" s="3" t="str">
        <f>IF(OR(Table1[[#This Row],[US Holiday]]&lt;&gt;"", Table1[[#This Row],[India Holiday]]&lt;&gt;""), "Yes", "No")</f>
        <v>No</v>
      </c>
      <c r="I417" s="2">
        <f>IF(
  AND(
    WORKDAY(E417-1,1)=E417,
    _xlfn.CONCAT(F417:G417)=""
  ),
  _xlfn.MAXIFS(I$2:I416,C$2:C416,C417,B$2:B416,B417)+1,
  ""
)</f>
        <v>14</v>
      </c>
    </row>
    <row r="418" spans="2:9" x14ac:dyDescent="0.25">
      <c r="B418" s="2">
        <f t="shared" si="20"/>
        <v>2026</v>
      </c>
      <c r="C418" s="2" t="str">
        <f t="shared" si="19"/>
        <v>August</v>
      </c>
      <c r="D418" s="2" t="str">
        <f t="shared" si="21"/>
        <v>Friday</v>
      </c>
      <c r="E418" s="4">
        <v>46255</v>
      </c>
      <c r="H418" s="3" t="str">
        <f>IF(OR(Table1[[#This Row],[US Holiday]]&lt;&gt;"", Table1[[#This Row],[India Holiday]]&lt;&gt;""), "Yes", "No")</f>
        <v>No</v>
      </c>
      <c r="I418" s="2">
        <f>IF(
  AND(
    WORKDAY(E418-1,1)=E418,
    _xlfn.CONCAT(F418:G418)=""
  ),
  _xlfn.MAXIFS(I$2:I417,C$2:C417,C418,B$2:B417,B418)+1,
  ""
)</f>
        <v>15</v>
      </c>
    </row>
    <row r="419" spans="2:9" x14ac:dyDescent="0.25">
      <c r="B419" s="2">
        <f t="shared" si="20"/>
        <v>2026</v>
      </c>
      <c r="C419" s="2" t="str">
        <f t="shared" si="19"/>
        <v>August</v>
      </c>
      <c r="D419" s="2" t="str">
        <f t="shared" si="21"/>
        <v>Saturday</v>
      </c>
      <c r="E419" s="4">
        <v>46256</v>
      </c>
      <c r="H419" s="3" t="str">
        <f>IF(OR(Table1[[#This Row],[US Holiday]]&lt;&gt;"", Table1[[#This Row],[India Holiday]]&lt;&gt;""), "Yes", "No")</f>
        <v>No</v>
      </c>
      <c r="I419" s="2" t="str">
        <f>IF(
  AND(
    WORKDAY(E419-1,1)=E419,
    _xlfn.CONCAT(F419:G419)=""
  ),
  _xlfn.MAXIFS(I$2:I418,C$2:C418,C419,B$2:B418,B419)+1,
  ""
)</f>
        <v/>
      </c>
    </row>
    <row r="420" spans="2:9" x14ac:dyDescent="0.25">
      <c r="B420" s="2">
        <f t="shared" si="20"/>
        <v>2026</v>
      </c>
      <c r="C420" s="2" t="str">
        <f t="shared" si="19"/>
        <v>August</v>
      </c>
      <c r="D420" s="2" t="str">
        <f t="shared" si="21"/>
        <v>Sunday</v>
      </c>
      <c r="E420" s="4">
        <v>46257</v>
      </c>
      <c r="H420" s="3" t="str">
        <f>IF(OR(Table1[[#This Row],[US Holiday]]&lt;&gt;"", Table1[[#This Row],[India Holiday]]&lt;&gt;""), "Yes", "No")</f>
        <v>No</v>
      </c>
      <c r="I420" s="2" t="str">
        <f>IF(
  AND(
    WORKDAY(E420-1,1)=E420,
    _xlfn.CONCAT(F420:G420)=""
  ),
  _xlfn.MAXIFS(I$2:I419,C$2:C419,C420,B$2:B419,B420)+1,
  ""
)</f>
        <v/>
      </c>
    </row>
    <row r="421" spans="2:9" x14ac:dyDescent="0.25">
      <c r="B421" s="2">
        <f t="shared" si="20"/>
        <v>2026</v>
      </c>
      <c r="C421" s="2" t="str">
        <f t="shared" si="19"/>
        <v>August</v>
      </c>
      <c r="D421" s="2" t="str">
        <f t="shared" si="21"/>
        <v>Monday</v>
      </c>
      <c r="E421" s="4">
        <v>46258</v>
      </c>
      <c r="H421" s="3" t="str">
        <f>IF(OR(Table1[[#This Row],[US Holiday]]&lt;&gt;"", Table1[[#This Row],[India Holiday]]&lt;&gt;""), "Yes", "No")</f>
        <v>No</v>
      </c>
      <c r="I421" s="2">
        <f>IF(
  AND(
    WORKDAY(E421-1,1)=E421,
    _xlfn.CONCAT(F421:G421)=""
  ),
  _xlfn.MAXIFS(I$2:I420,C$2:C420,C421,B$2:B420,B421)+1,
  ""
)</f>
        <v>16</v>
      </c>
    </row>
    <row r="422" spans="2:9" x14ac:dyDescent="0.25">
      <c r="B422" s="2">
        <f t="shared" si="20"/>
        <v>2026</v>
      </c>
      <c r="C422" s="2" t="str">
        <f t="shared" si="19"/>
        <v>August</v>
      </c>
      <c r="D422" s="2" t="str">
        <f t="shared" si="21"/>
        <v>Tuesday</v>
      </c>
      <c r="E422" s="4">
        <v>46259</v>
      </c>
      <c r="H422" s="3" t="str">
        <f>IF(OR(Table1[[#This Row],[US Holiday]]&lt;&gt;"", Table1[[#This Row],[India Holiday]]&lt;&gt;""), "Yes", "No")</f>
        <v>No</v>
      </c>
      <c r="I422" s="2">
        <f>IF(
  AND(
    WORKDAY(E422-1,1)=E422,
    _xlfn.CONCAT(F422:G422)=""
  ),
  _xlfn.MAXIFS(I$2:I421,C$2:C421,C422,B$2:B421,B422)+1,
  ""
)</f>
        <v>17</v>
      </c>
    </row>
    <row r="423" spans="2:9" x14ac:dyDescent="0.25">
      <c r="B423" s="2">
        <f t="shared" si="20"/>
        <v>2026</v>
      </c>
      <c r="C423" s="2" t="str">
        <f t="shared" si="19"/>
        <v>August</v>
      </c>
      <c r="D423" s="2" t="str">
        <f t="shared" si="21"/>
        <v>Wednesday</v>
      </c>
      <c r="E423" s="4">
        <v>46260</v>
      </c>
      <c r="H423" s="3" t="str">
        <f>IF(OR(Table1[[#This Row],[US Holiday]]&lt;&gt;"", Table1[[#This Row],[India Holiday]]&lt;&gt;""), "Yes", "No")</f>
        <v>No</v>
      </c>
      <c r="I423" s="2">
        <f>IF(
  AND(
    WORKDAY(E423-1,1)=E423,
    _xlfn.CONCAT(F423:G423)=""
  ),
  _xlfn.MAXIFS(I$2:I422,C$2:C422,C423,B$2:B422,B423)+1,
  ""
)</f>
        <v>18</v>
      </c>
    </row>
    <row r="424" spans="2:9" x14ac:dyDescent="0.25">
      <c r="B424" s="2">
        <f t="shared" si="20"/>
        <v>2026</v>
      </c>
      <c r="C424" s="2" t="str">
        <f t="shared" si="19"/>
        <v>August</v>
      </c>
      <c r="D424" s="2" t="str">
        <f t="shared" si="21"/>
        <v>Thursday</v>
      </c>
      <c r="E424" s="4">
        <v>46261</v>
      </c>
      <c r="H424" s="3" t="str">
        <f>IF(OR(Table1[[#This Row],[US Holiday]]&lt;&gt;"", Table1[[#This Row],[India Holiday]]&lt;&gt;""), "Yes", "No")</f>
        <v>No</v>
      </c>
      <c r="I424" s="2">
        <f>IF(
  AND(
    WORKDAY(E424-1,1)=E424,
    _xlfn.CONCAT(F424:G424)=""
  ),
  _xlfn.MAXIFS(I$2:I423,C$2:C423,C424,B$2:B423,B424)+1,
  ""
)</f>
        <v>19</v>
      </c>
    </row>
    <row r="425" spans="2:9" x14ac:dyDescent="0.25">
      <c r="B425" s="2">
        <f t="shared" si="20"/>
        <v>2026</v>
      </c>
      <c r="C425" s="2" t="str">
        <f t="shared" si="19"/>
        <v>August</v>
      </c>
      <c r="D425" s="2" t="str">
        <f t="shared" si="21"/>
        <v>Friday</v>
      </c>
      <c r="E425" s="4">
        <v>46262</v>
      </c>
      <c r="H425" s="3" t="str">
        <f>IF(OR(Table1[[#This Row],[US Holiday]]&lt;&gt;"", Table1[[#This Row],[India Holiday]]&lt;&gt;""), "Yes", "No")</f>
        <v>No</v>
      </c>
      <c r="I425" s="2">
        <f>IF(
  AND(
    WORKDAY(E425-1,1)=E425,
    _xlfn.CONCAT(F425:G425)=""
  ),
  _xlfn.MAXIFS(I$2:I424,C$2:C424,C425,B$2:B424,B425)+1,
  ""
)</f>
        <v>20</v>
      </c>
    </row>
    <row r="426" spans="2:9" x14ac:dyDescent="0.25">
      <c r="B426" s="2">
        <f t="shared" si="20"/>
        <v>2026</v>
      </c>
      <c r="C426" s="2" t="str">
        <f t="shared" si="19"/>
        <v>August</v>
      </c>
      <c r="D426" s="2" t="str">
        <f t="shared" si="21"/>
        <v>Saturday</v>
      </c>
      <c r="E426" s="4">
        <v>46263</v>
      </c>
      <c r="H426" s="3" t="str">
        <f>IF(OR(Table1[[#This Row],[US Holiday]]&lt;&gt;"", Table1[[#This Row],[India Holiday]]&lt;&gt;""), "Yes", "No")</f>
        <v>No</v>
      </c>
      <c r="I426" s="2" t="str">
        <f>IF(
  AND(
    WORKDAY(E426-1,1)=E426,
    _xlfn.CONCAT(F426:G426)=""
  ),
  _xlfn.MAXIFS(I$2:I425,C$2:C425,C426,B$2:B425,B426)+1,
  ""
)</f>
        <v/>
      </c>
    </row>
    <row r="427" spans="2:9" x14ac:dyDescent="0.25">
      <c r="B427" s="2">
        <f t="shared" si="20"/>
        <v>2026</v>
      </c>
      <c r="C427" s="2" t="str">
        <f t="shared" si="19"/>
        <v>August</v>
      </c>
      <c r="D427" s="2" t="str">
        <f t="shared" si="21"/>
        <v>Sunday</v>
      </c>
      <c r="E427" s="4">
        <v>46264</v>
      </c>
      <c r="H427" s="3" t="str">
        <f>IF(OR(Table1[[#This Row],[US Holiday]]&lt;&gt;"", Table1[[#This Row],[India Holiday]]&lt;&gt;""), "Yes", "No")</f>
        <v>No</v>
      </c>
      <c r="I427" s="2" t="str">
        <f>IF(
  AND(
    WORKDAY(E427-1,1)=E427,
    _xlfn.CONCAT(F427:G427)=""
  ),
  _xlfn.MAXIFS(I$2:I426,C$2:C426,C427,B$2:B426,B427)+1,
  ""
)</f>
        <v/>
      </c>
    </row>
    <row r="428" spans="2:9" x14ac:dyDescent="0.25">
      <c r="B428" s="2">
        <f t="shared" si="20"/>
        <v>2026</v>
      </c>
      <c r="C428" s="2" t="str">
        <f t="shared" si="19"/>
        <v>August</v>
      </c>
      <c r="D428" s="2" t="str">
        <f t="shared" si="21"/>
        <v>Monday</v>
      </c>
      <c r="E428" s="4">
        <v>46265</v>
      </c>
      <c r="H428" s="3" t="str">
        <f>IF(OR(Table1[[#This Row],[US Holiday]]&lt;&gt;"", Table1[[#This Row],[India Holiday]]&lt;&gt;""), "Yes", "No")</f>
        <v>No</v>
      </c>
      <c r="I428" s="2">
        <f>IF(
  AND(
    WORKDAY(E428-1,1)=E428,
    _xlfn.CONCAT(F428:G428)=""
  ),
  _xlfn.MAXIFS(I$2:I427,C$2:C427,C428,B$2:B427,B428)+1,
  ""
)</f>
        <v>21</v>
      </c>
    </row>
    <row r="429" spans="2:9" x14ac:dyDescent="0.25">
      <c r="B429" s="2">
        <f t="shared" si="20"/>
        <v>2026</v>
      </c>
      <c r="C429" s="2" t="str">
        <f t="shared" si="19"/>
        <v>September</v>
      </c>
      <c r="D429" s="2" t="str">
        <f t="shared" si="21"/>
        <v>Tuesday</v>
      </c>
      <c r="E429" s="4">
        <v>46266</v>
      </c>
      <c r="H429" s="3" t="str">
        <f>IF(OR(Table1[[#This Row],[US Holiday]]&lt;&gt;"", Table1[[#This Row],[India Holiday]]&lt;&gt;""), "Yes", "No")</f>
        <v>No</v>
      </c>
      <c r="I429" s="2">
        <f>IF(
  AND(
    WORKDAY(E429-1,1)=E429,
    _xlfn.CONCAT(F429:G429)=""
  ),
  _xlfn.MAXIFS(I$2:I428,C$2:C428,C429,B$2:B428,B429)+1,
  ""
)</f>
        <v>1</v>
      </c>
    </row>
    <row r="430" spans="2:9" x14ac:dyDescent="0.25">
      <c r="B430" s="2">
        <f t="shared" si="20"/>
        <v>2026</v>
      </c>
      <c r="C430" s="2" t="str">
        <f t="shared" si="19"/>
        <v>September</v>
      </c>
      <c r="D430" s="2" t="str">
        <f t="shared" si="21"/>
        <v>Wednesday</v>
      </c>
      <c r="E430" s="4">
        <v>46267</v>
      </c>
      <c r="H430" s="3" t="str">
        <f>IF(OR(Table1[[#This Row],[US Holiday]]&lt;&gt;"", Table1[[#This Row],[India Holiday]]&lt;&gt;""), "Yes", "No")</f>
        <v>No</v>
      </c>
      <c r="I430" s="2">
        <f>IF(
  AND(
    WORKDAY(E430-1,1)=E430,
    _xlfn.CONCAT(F430:G430)=""
  ),
  _xlfn.MAXIFS(I$2:I429,C$2:C429,C430,B$2:B429,B430)+1,
  ""
)</f>
        <v>2</v>
      </c>
    </row>
    <row r="431" spans="2:9" x14ac:dyDescent="0.25">
      <c r="B431" s="2">
        <f t="shared" si="20"/>
        <v>2026</v>
      </c>
      <c r="C431" s="2" t="str">
        <f t="shared" si="19"/>
        <v>September</v>
      </c>
      <c r="D431" s="2" t="str">
        <f t="shared" si="21"/>
        <v>Thursday</v>
      </c>
      <c r="E431" s="4">
        <v>46268</v>
      </c>
      <c r="H431" s="3" t="str">
        <f>IF(OR(Table1[[#This Row],[US Holiday]]&lt;&gt;"", Table1[[#This Row],[India Holiday]]&lt;&gt;""), "Yes", "No")</f>
        <v>No</v>
      </c>
      <c r="I431" s="2">
        <f>IF(
  AND(
    WORKDAY(E431-1,1)=E431,
    _xlfn.CONCAT(F431:G431)=""
  ),
  _xlfn.MAXIFS(I$2:I430,C$2:C430,C431,B$2:B430,B431)+1,
  ""
)</f>
        <v>3</v>
      </c>
    </row>
    <row r="432" spans="2:9" x14ac:dyDescent="0.25">
      <c r="B432" s="2">
        <f t="shared" si="20"/>
        <v>2026</v>
      </c>
      <c r="C432" s="2" t="str">
        <f t="shared" si="19"/>
        <v>September</v>
      </c>
      <c r="D432" s="2" t="str">
        <f t="shared" si="21"/>
        <v>Friday</v>
      </c>
      <c r="E432" s="4">
        <v>46269</v>
      </c>
      <c r="H432" s="3" t="str">
        <f>IF(OR(Table1[[#This Row],[US Holiday]]&lt;&gt;"", Table1[[#This Row],[India Holiday]]&lt;&gt;""), "Yes", "No")</f>
        <v>No</v>
      </c>
      <c r="I432" s="2">
        <f>IF(
  AND(
    WORKDAY(E432-1,1)=E432,
    _xlfn.CONCAT(F432:G432)=""
  ),
  _xlfn.MAXIFS(I$2:I431,C$2:C431,C432,B$2:B431,B432)+1,
  ""
)</f>
        <v>4</v>
      </c>
    </row>
    <row r="433" spans="2:9" x14ac:dyDescent="0.25">
      <c r="B433" s="2">
        <f t="shared" si="20"/>
        <v>2026</v>
      </c>
      <c r="C433" s="2" t="str">
        <f t="shared" si="19"/>
        <v>September</v>
      </c>
      <c r="D433" s="2" t="str">
        <f t="shared" si="21"/>
        <v>Saturday</v>
      </c>
      <c r="E433" s="4">
        <v>46270</v>
      </c>
      <c r="H433" s="3" t="str">
        <f>IF(OR(Table1[[#This Row],[US Holiday]]&lt;&gt;"", Table1[[#This Row],[India Holiday]]&lt;&gt;""), "Yes", "No")</f>
        <v>No</v>
      </c>
      <c r="I433" s="2" t="str">
        <f>IF(
  AND(
    WORKDAY(E433-1,1)=E433,
    _xlfn.CONCAT(F433:G433)=""
  ),
  _xlfn.MAXIFS(I$2:I432,C$2:C432,C433,B$2:B432,B433)+1,
  ""
)</f>
        <v/>
      </c>
    </row>
    <row r="434" spans="2:9" x14ac:dyDescent="0.25">
      <c r="B434" s="2">
        <f t="shared" si="20"/>
        <v>2026</v>
      </c>
      <c r="C434" s="2" t="str">
        <f t="shared" si="19"/>
        <v>September</v>
      </c>
      <c r="D434" s="2" t="str">
        <f t="shared" si="21"/>
        <v>Sunday</v>
      </c>
      <c r="E434" s="4">
        <v>46271</v>
      </c>
      <c r="H434" s="3" t="str">
        <f>IF(OR(Table1[[#This Row],[US Holiday]]&lt;&gt;"", Table1[[#This Row],[India Holiday]]&lt;&gt;""), "Yes", "No")</f>
        <v>No</v>
      </c>
      <c r="I434" s="2" t="str">
        <f>IF(
  AND(
    WORKDAY(E434-1,1)=E434,
    _xlfn.CONCAT(F434:G434)=""
  ),
  _xlfn.MAXIFS(I$2:I433,C$2:C433,C434,B$2:B433,B434)+1,
  ""
)</f>
        <v/>
      </c>
    </row>
    <row r="435" spans="2:9" x14ac:dyDescent="0.25">
      <c r="B435" s="2">
        <f t="shared" si="20"/>
        <v>2026</v>
      </c>
      <c r="C435" s="2" t="str">
        <f t="shared" si="19"/>
        <v>September</v>
      </c>
      <c r="D435" s="2" t="str">
        <f t="shared" si="21"/>
        <v>Monday</v>
      </c>
      <c r="E435" s="4">
        <v>46272</v>
      </c>
      <c r="H435" s="3" t="str">
        <f>IF(OR(Table1[[#This Row],[US Holiday]]&lt;&gt;"", Table1[[#This Row],[India Holiday]]&lt;&gt;""), "Yes", "No")</f>
        <v>No</v>
      </c>
      <c r="I435" s="2">
        <f>IF(
  AND(
    WORKDAY(E435-1,1)=E435,
    _xlfn.CONCAT(F435:G435)=""
  ),
  _xlfn.MAXIFS(I$2:I434,C$2:C434,C435,B$2:B434,B435)+1,
  ""
)</f>
        <v>5</v>
      </c>
    </row>
    <row r="436" spans="2:9" x14ac:dyDescent="0.25">
      <c r="B436" s="2">
        <f t="shared" si="20"/>
        <v>2026</v>
      </c>
      <c r="C436" s="2" t="str">
        <f t="shared" si="19"/>
        <v>September</v>
      </c>
      <c r="D436" s="2" t="str">
        <f t="shared" si="21"/>
        <v>Tuesday</v>
      </c>
      <c r="E436" s="4">
        <v>46273</v>
      </c>
      <c r="H436" s="3" t="str">
        <f>IF(OR(Table1[[#This Row],[US Holiday]]&lt;&gt;"", Table1[[#This Row],[India Holiday]]&lt;&gt;""), "Yes", "No")</f>
        <v>No</v>
      </c>
      <c r="I436" s="2">
        <f>IF(
  AND(
    WORKDAY(E436-1,1)=E436,
    _xlfn.CONCAT(F436:G436)=""
  ),
  _xlfn.MAXIFS(I$2:I435,C$2:C435,C436,B$2:B435,B436)+1,
  ""
)</f>
        <v>6</v>
      </c>
    </row>
    <row r="437" spans="2:9" x14ac:dyDescent="0.25">
      <c r="B437" s="2">
        <f t="shared" si="20"/>
        <v>2026</v>
      </c>
      <c r="C437" s="2" t="str">
        <f t="shared" si="19"/>
        <v>September</v>
      </c>
      <c r="D437" s="2" t="str">
        <f t="shared" si="21"/>
        <v>Wednesday</v>
      </c>
      <c r="E437" s="4">
        <v>46274</v>
      </c>
      <c r="H437" s="3" t="str">
        <f>IF(OR(Table1[[#This Row],[US Holiday]]&lt;&gt;"", Table1[[#This Row],[India Holiday]]&lt;&gt;""), "Yes", "No")</f>
        <v>No</v>
      </c>
      <c r="I437" s="2">
        <f>IF(
  AND(
    WORKDAY(E437-1,1)=E437,
    _xlfn.CONCAT(F437:G437)=""
  ),
  _xlfn.MAXIFS(I$2:I436,C$2:C436,C437,B$2:B436,B437)+1,
  ""
)</f>
        <v>7</v>
      </c>
    </row>
    <row r="438" spans="2:9" x14ac:dyDescent="0.25">
      <c r="B438" s="2">
        <f t="shared" si="20"/>
        <v>2026</v>
      </c>
      <c r="C438" s="2" t="str">
        <f t="shared" si="19"/>
        <v>September</v>
      </c>
      <c r="D438" s="2" t="str">
        <f t="shared" si="21"/>
        <v>Thursday</v>
      </c>
      <c r="E438" s="4">
        <v>46275</v>
      </c>
      <c r="H438" s="3" t="str">
        <f>IF(OR(Table1[[#This Row],[US Holiday]]&lt;&gt;"", Table1[[#This Row],[India Holiday]]&lt;&gt;""), "Yes", "No")</f>
        <v>No</v>
      </c>
      <c r="I438" s="2">
        <f>IF(
  AND(
    WORKDAY(E438-1,1)=E438,
    _xlfn.CONCAT(F438:G438)=""
  ),
  _xlfn.MAXIFS(I$2:I437,C$2:C437,C438,B$2:B437,B438)+1,
  ""
)</f>
        <v>8</v>
      </c>
    </row>
    <row r="439" spans="2:9" x14ac:dyDescent="0.25">
      <c r="B439" s="2">
        <f t="shared" si="20"/>
        <v>2026</v>
      </c>
      <c r="C439" s="2" t="str">
        <f t="shared" si="19"/>
        <v>September</v>
      </c>
      <c r="D439" s="2" t="str">
        <f t="shared" si="21"/>
        <v>Friday</v>
      </c>
      <c r="E439" s="4">
        <v>46276</v>
      </c>
      <c r="H439" s="3" t="str">
        <f>IF(OR(Table1[[#This Row],[US Holiday]]&lt;&gt;"", Table1[[#This Row],[India Holiday]]&lt;&gt;""), "Yes", "No")</f>
        <v>No</v>
      </c>
      <c r="I439" s="2">
        <f>IF(
  AND(
    WORKDAY(E439-1,1)=E439,
    _xlfn.CONCAT(F439:G439)=""
  ),
  _xlfn.MAXIFS(I$2:I438,C$2:C438,C439,B$2:B438,B439)+1,
  ""
)</f>
        <v>9</v>
      </c>
    </row>
    <row r="440" spans="2:9" x14ac:dyDescent="0.25">
      <c r="B440" s="2">
        <f t="shared" si="20"/>
        <v>2026</v>
      </c>
      <c r="C440" s="2" t="str">
        <f t="shared" si="19"/>
        <v>September</v>
      </c>
      <c r="D440" s="2" t="str">
        <f t="shared" si="21"/>
        <v>Saturday</v>
      </c>
      <c r="E440" s="4">
        <v>46277</v>
      </c>
      <c r="H440" s="3" t="str">
        <f>IF(OR(Table1[[#This Row],[US Holiday]]&lt;&gt;"", Table1[[#This Row],[India Holiday]]&lt;&gt;""), "Yes", "No")</f>
        <v>No</v>
      </c>
      <c r="I440" s="2" t="str">
        <f>IF(
  AND(
    WORKDAY(E440-1,1)=E440,
    _xlfn.CONCAT(F440:G440)=""
  ),
  _xlfn.MAXIFS(I$2:I439,C$2:C439,C440,B$2:B439,B440)+1,
  ""
)</f>
        <v/>
      </c>
    </row>
    <row r="441" spans="2:9" x14ac:dyDescent="0.25">
      <c r="B441" s="2">
        <f t="shared" si="20"/>
        <v>2026</v>
      </c>
      <c r="C441" s="2" t="str">
        <f t="shared" si="19"/>
        <v>September</v>
      </c>
      <c r="D441" s="2" t="str">
        <f t="shared" si="21"/>
        <v>Sunday</v>
      </c>
      <c r="E441" s="4">
        <v>46278</v>
      </c>
      <c r="H441" s="3" t="str">
        <f>IF(OR(Table1[[#This Row],[US Holiday]]&lt;&gt;"", Table1[[#This Row],[India Holiday]]&lt;&gt;""), "Yes", "No")</f>
        <v>No</v>
      </c>
      <c r="I441" s="2" t="str">
        <f>IF(
  AND(
    WORKDAY(E441-1,1)=E441,
    _xlfn.CONCAT(F441:G441)=""
  ),
  _xlfn.MAXIFS(I$2:I440,C$2:C440,C441,B$2:B440,B441)+1,
  ""
)</f>
        <v/>
      </c>
    </row>
    <row r="442" spans="2:9" x14ac:dyDescent="0.25">
      <c r="B442" s="2">
        <f t="shared" si="20"/>
        <v>2026</v>
      </c>
      <c r="C442" s="2" t="str">
        <f t="shared" si="19"/>
        <v>September</v>
      </c>
      <c r="D442" s="2" t="str">
        <f t="shared" si="21"/>
        <v>Monday</v>
      </c>
      <c r="E442" s="4">
        <v>46279</v>
      </c>
      <c r="H442" s="3" t="str">
        <f>IF(OR(Table1[[#This Row],[US Holiday]]&lt;&gt;"", Table1[[#This Row],[India Holiday]]&lt;&gt;""), "Yes", "No")</f>
        <v>No</v>
      </c>
      <c r="I442" s="2">
        <f>IF(
  AND(
    WORKDAY(E442-1,1)=E442,
    _xlfn.CONCAT(F442:G442)=""
  ),
  _xlfn.MAXIFS(I$2:I441,C$2:C441,C442,B$2:B441,B442)+1,
  ""
)</f>
        <v>10</v>
      </c>
    </row>
    <row r="443" spans="2:9" x14ac:dyDescent="0.25">
      <c r="B443" s="2">
        <f t="shared" si="20"/>
        <v>2026</v>
      </c>
      <c r="C443" s="2" t="str">
        <f t="shared" si="19"/>
        <v>September</v>
      </c>
      <c r="D443" s="2" t="str">
        <f t="shared" si="21"/>
        <v>Tuesday</v>
      </c>
      <c r="E443" s="4">
        <v>46280</v>
      </c>
      <c r="H443" s="3" t="str">
        <f>IF(OR(Table1[[#This Row],[US Holiday]]&lt;&gt;"", Table1[[#This Row],[India Holiday]]&lt;&gt;""), "Yes", "No")</f>
        <v>No</v>
      </c>
      <c r="I443" s="2">
        <f>IF(
  AND(
    WORKDAY(E443-1,1)=E443,
    _xlfn.CONCAT(F443:G443)=""
  ),
  _xlfn.MAXIFS(I$2:I442,C$2:C442,C443,B$2:B442,B443)+1,
  ""
)</f>
        <v>11</v>
      </c>
    </row>
    <row r="444" spans="2:9" x14ac:dyDescent="0.25">
      <c r="B444" s="2">
        <f t="shared" si="20"/>
        <v>2026</v>
      </c>
      <c r="C444" s="2" t="str">
        <f t="shared" si="19"/>
        <v>September</v>
      </c>
      <c r="D444" s="2" t="str">
        <f t="shared" si="21"/>
        <v>Wednesday</v>
      </c>
      <c r="E444" s="4">
        <v>46281</v>
      </c>
      <c r="H444" s="3" t="str">
        <f>IF(OR(Table1[[#This Row],[US Holiday]]&lt;&gt;"", Table1[[#This Row],[India Holiday]]&lt;&gt;""), "Yes", "No")</f>
        <v>No</v>
      </c>
      <c r="I444" s="2">
        <f>IF(
  AND(
    WORKDAY(E444-1,1)=E444,
    _xlfn.CONCAT(F444:G444)=""
  ),
  _xlfn.MAXIFS(I$2:I443,C$2:C443,C444,B$2:B443,B444)+1,
  ""
)</f>
        <v>12</v>
      </c>
    </row>
    <row r="445" spans="2:9" x14ac:dyDescent="0.25">
      <c r="B445" s="2">
        <f t="shared" si="20"/>
        <v>2026</v>
      </c>
      <c r="C445" s="2" t="str">
        <f t="shared" si="19"/>
        <v>September</v>
      </c>
      <c r="D445" s="2" t="str">
        <f t="shared" si="21"/>
        <v>Thursday</v>
      </c>
      <c r="E445" s="4">
        <v>46282</v>
      </c>
      <c r="H445" s="3" t="str">
        <f>IF(OR(Table1[[#This Row],[US Holiday]]&lt;&gt;"", Table1[[#This Row],[India Holiday]]&lt;&gt;""), "Yes", "No")</f>
        <v>No</v>
      </c>
      <c r="I445" s="2">
        <f>IF(
  AND(
    WORKDAY(E445-1,1)=E445,
    _xlfn.CONCAT(F445:G445)=""
  ),
  _xlfn.MAXIFS(I$2:I444,C$2:C444,C445,B$2:B444,B445)+1,
  ""
)</f>
        <v>13</v>
      </c>
    </row>
    <row r="446" spans="2:9" x14ac:dyDescent="0.25">
      <c r="B446" s="2">
        <f t="shared" si="20"/>
        <v>2026</v>
      </c>
      <c r="C446" s="2" t="str">
        <f t="shared" si="19"/>
        <v>September</v>
      </c>
      <c r="D446" s="2" t="str">
        <f t="shared" si="21"/>
        <v>Friday</v>
      </c>
      <c r="E446" s="4">
        <v>46283</v>
      </c>
      <c r="H446" s="3" t="str">
        <f>IF(OR(Table1[[#This Row],[US Holiday]]&lt;&gt;"", Table1[[#This Row],[India Holiday]]&lt;&gt;""), "Yes", "No")</f>
        <v>No</v>
      </c>
      <c r="I446" s="2">
        <f>IF(
  AND(
    WORKDAY(E446-1,1)=E446,
    _xlfn.CONCAT(F446:G446)=""
  ),
  _xlfn.MAXIFS(I$2:I445,C$2:C445,C446,B$2:B445,B446)+1,
  ""
)</f>
        <v>14</v>
      </c>
    </row>
    <row r="447" spans="2:9" x14ac:dyDescent="0.25">
      <c r="B447" s="2">
        <f t="shared" si="20"/>
        <v>2026</v>
      </c>
      <c r="C447" s="2" t="str">
        <f t="shared" si="19"/>
        <v>September</v>
      </c>
      <c r="D447" s="2" t="str">
        <f t="shared" si="21"/>
        <v>Saturday</v>
      </c>
      <c r="E447" s="4">
        <v>46284</v>
      </c>
      <c r="H447" s="3" t="str">
        <f>IF(OR(Table1[[#This Row],[US Holiday]]&lt;&gt;"", Table1[[#This Row],[India Holiday]]&lt;&gt;""), "Yes", "No")</f>
        <v>No</v>
      </c>
      <c r="I447" s="2" t="str">
        <f>IF(
  AND(
    WORKDAY(E447-1,1)=E447,
    _xlfn.CONCAT(F447:G447)=""
  ),
  _xlfn.MAXIFS(I$2:I446,C$2:C446,C447,B$2:B446,B447)+1,
  ""
)</f>
        <v/>
      </c>
    </row>
    <row r="448" spans="2:9" x14ac:dyDescent="0.25">
      <c r="B448" s="2">
        <f t="shared" si="20"/>
        <v>2026</v>
      </c>
      <c r="C448" s="2" t="str">
        <f t="shared" si="19"/>
        <v>September</v>
      </c>
      <c r="D448" s="2" t="str">
        <f t="shared" si="21"/>
        <v>Sunday</v>
      </c>
      <c r="E448" s="4">
        <v>46285</v>
      </c>
      <c r="H448" s="3" t="str">
        <f>IF(OR(Table1[[#This Row],[US Holiday]]&lt;&gt;"", Table1[[#This Row],[India Holiday]]&lt;&gt;""), "Yes", "No")</f>
        <v>No</v>
      </c>
      <c r="I448" s="2" t="str">
        <f>IF(
  AND(
    WORKDAY(E448-1,1)=E448,
    _xlfn.CONCAT(F448:G448)=""
  ),
  _xlfn.MAXIFS(I$2:I447,C$2:C447,C448,B$2:B447,B448)+1,
  ""
)</f>
        <v/>
      </c>
    </row>
    <row r="449" spans="2:9" x14ac:dyDescent="0.25">
      <c r="B449" s="2">
        <f t="shared" si="20"/>
        <v>2026</v>
      </c>
      <c r="C449" s="2" t="str">
        <f t="shared" ref="C449:C512" si="22">TEXT(E449,"mmmm")</f>
        <v>September</v>
      </c>
      <c r="D449" s="2" t="str">
        <f t="shared" si="21"/>
        <v>Monday</v>
      </c>
      <c r="E449" s="4">
        <v>46286</v>
      </c>
      <c r="H449" s="3" t="str">
        <f>IF(OR(Table1[[#This Row],[US Holiday]]&lt;&gt;"", Table1[[#This Row],[India Holiday]]&lt;&gt;""), "Yes", "No")</f>
        <v>No</v>
      </c>
      <c r="I449" s="2">
        <f>IF(
  AND(
    WORKDAY(E449-1,1)=E449,
    _xlfn.CONCAT(F449:G449)=""
  ),
  _xlfn.MAXIFS(I$2:I448,C$2:C448,C449,B$2:B448,B449)+1,
  ""
)</f>
        <v>15</v>
      </c>
    </row>
    <row r="450" spans="2:9" x14ac:dyDescent="0.25">
      <c r="B450" s="2">
        <f t="shared" si="20"/>
        <v>2026</v>
      </c>
      <c r="C450" s="2" t="str">
        <f t="shared" si="22"/>
        <v>September</v>
      </c>
      <c r="D450" s="2" t="str">
        <f t="shared" si="21"/>
        <v>Tuesday</v>
      </c>
      <c r="E450" s="4">
        <v>46287</v>
      </c>
      <c r="H450" s="3" t="str">
        <f>IF(OR(Table1[[#This Row],[US Holiday]]&lt;&gt;"", Table1[[#This Row],[India Holiday]]&lt;&gt;""), "Yes", "No")</f>
        <v>No</v>
      </c>
      <c r="I450" s="2">
        <f>IF(
  AND(
    WORKDAY(E450-1,1)=E450,
    _xlfn.CONCAT(F450:G450)=""
  ),
  _xlfn.MAXIFS(I$2:I449,C$2:C449,C450,B$2:B449,B450)+1,
  ""
)</f>
        <v>16</v>
      </c>
    </row>
    <row r="451" spans="2:9" x14ac:dyDescent="0.25">
      <c r="B451" s="2">
        <f t="shared" ref="B451:B514" si="23">YEAR(E451)</f>
        <v>2026</v>
      </c>
      <c r="C451" s="2" t="str">
        <f t="shared" si="22"/>
        <v>September</v>
      </c>
      <c r="D451" s="2" t="str">
        <f t="shared" ref="D451:D514" si="24">TEXT(E451,"dddd")</f>
        <v>Wednesday</v>
      </c>
      <c r="E451" s="4">
        <v>46288</v>
      </c>
      <c r="H451" s="3" t="str">
        <f>IF(OR(Table1[[#This Row],[US Holiday]]&lt;&gt;"", Table1[[#This Row],[India Holiday]]&lt;&gt;""), "Yes", "No")</f>
        <v>No</v>
      </c>
      <c r="I451" s="2">
        <f>IF(
  AND(
    WORKDAY(E451-1,1)=E451,
    _xlfn.CONCAT(F451:G451)=""
  ),
  _xlfn.MAXIFS(I$2:I450,C$2:C450,C451,B$2:B450,B451)+1,
  ""
)</f>
        <v>17</v>
      </c>
    </row>
    <row r="452" spans="2:9" x14ac:dyDescent="0.25">
      <c r="B452" s="2">
        <f t="shared" si="23"/>
        <v>2026</v>
      </c>
      <c r="C452" s="2" t="str">
        <f t="shared" si="22"/>
        <v>September</v>
      </c>
      <c r="D452" s="2" t="str">
        <f t="shared" si="24"/>
        <v>Thursday</v>
      </c>
      <c r="E452" s="4">
        <v>46289</v>
      </c>
      <c r="H452" s="3" t="str">
        <f>IF(OR(Table1[[#This Row],[US Holiday]]&lt;&gt;"", Table1[[#This Row],[India Holiday]]&lt;&gt;""), "Yes", "No")</f>
        <v>No</v>
      </c>
      <c r="I452" s="2">
        <f>IF(
  AND(
    WORKDAY(E452-1,1)=E452,
    _xlfn.CONCAT(F452:G452)=""
  ),
  _xlfn.MAXIFS(I$2:I451,C$2:C451,C452,B$2:B451,B452)+1,
  ""
)</f>
        <v>18</v>
      </c>
    </row>
    <row r="453" spans="2:9" x14ac:dyDescent="0.25">
      <c r="B453" s="2">
        <f t="shared" si="23"/>
        <v>2026</v>
      </c>
      <c r="C453" s="2" t="str">
        <f t="shared" si="22"/>
        <v>September</v>
      </c>
      <c r="D453" s="2" t="str">
        <f t="shared" si="24"/>
        <v>Friday</v>
      </c>
      <c r="E453" s="4">
        <v>46290</v>
      </c>
      <c r="H453" s="3" t="str">
        <f>IF(OR(Table1[[#This Row],[US Holiday]]&lt;&gt;"", Table1[[#This Row],[India Holiday]]&lt;&gt;""), "Yes", "No")</f>
        <v>No</v>
      </c>
      <c r="I453" s="2">
        <f>IF(
  AND(
    WORKDAY(E453-1,1)=E453,
    _xlfn.CONCAT(F453:G453)=""
  ),
  _xlfn.MAXIFS(I$2:I452,C$2:C452,C453,B$2:B452,B453)+1,
  ""
)</f>
        <v>19</v>
      </c>
    </row>
    <row r="454" spans="2:9" x14ac:dyDescent="0.25">
      <c r="B454" s="2">
        <f t="shared" si="23"/>
        <v>2026</v>
      </c>
      <c r="C454" s="2" t="str">
        <f t="shared" si="22"/>
        <v>September</v>
      </c>
      <c r="D454" s="2" t="str">
        <f t="shared" si="24"/>
        <v>Saturday</v>
      </c>
      <c r="E454" s="4">
        <v>46291</v>
      </c>
      <c r="H454" s="3" t="str">
        <f>IF(OR(Table1[[#This Row],[US Holiday]]&lt;&gt;"", Table1[[#This Row],[India Holiday]]&lt;&gt;""), "Yes", "No")</f>
        <v>No</v>
      </c>
      <c r="I454" s="2" t="str">
        <f>IF(
  AND(
    WORKDAY(E454-1,1)=E454,
    _xlfn.CONCAT(F454:G454)=""
  ),
  _xlfn.MAXIFS(I$2:I453,C$2:C453,C454,B$2:B453,B454)+1,
  ""
)</f>
        <v/>
      </c>
    </row>
    <row r="455" spans="2:9" x14ac:dyDescent="0.25">
      <c r="B455" s="2">
        <f t="shared" si="23"/>
        <v>2026</v>
      </c>
      <c r="C455" s="2" t="str">
        <f t="shared" si="22"/>
        <v>September</v>
      </c>
      <c r="D455" s="2" t="str">
        <f t="shared" si="24"/>
        <v>Sunday</v>
      </c>
      <c r="E455" s="4">
        <v>46292</v>
      </c>
      <c r="H455" s="3" t="str">
        <f>IF(OR(Table1[[#This Row],[US Holiday]]&lt;&gt;"", Table1[[#This Row],[India Holiday]]&lt;&gt;""), "Yes", "No")</f>
        <v>No</v>
      </c>
      <c r="I455" s="2" t="str">
        <f>IF(
  AND(
    WORKDAY(E455-1,1)=E455,
    _xlfn.CONCAT(F455:G455)=""
  ),
  _xlfn.MAXIFS(I$2:I454,C$2:C454,C455,B$2:B454,B455)+1,
  ""
)</f>
        <v/>
      </c>
    </row>
    <row r="456" spans="2:9" x14ac:dyDescent="0.25">
      <c r="B456" s="2">
        <f t="shared" si="23"/>
        <v>2026</v>
      </c>
      <c r="C456" s="2" t="str">
        <f t="shared" si="22"/>
        <v>September</v>
      </c>
      <c r="D456" s="2" t="str">
        <f t="shared" si="24"/>
        <v>Monday</v>
      </c>
      <c r="E456" s="4">
        <v>46293</v>
      </c>
      <c r="H456" s="3" t="str">
        <f>IF(OR(Table1[[#This Row],[US Holiday]]&lt;&gt;"", Table1[[#This Row],[India Holiday]]&lt;&gt;""), "Yes", "No")</f>
        <v>No</v>
      </c>
      <c r="I456" s="2">
        <f>IF(
  AND(
    WORKDAY(E456-1,1)=E456,
    _xlfn.CONCAT(F456:G456)=""
  ),
  _xlfn.MAXIFS(I$2:I455,C$2:C455,C456,B$2:B455,B456)+1,
  ""
)</f>
        <v>20</v>
      </c>
    </row>
    <row r="457" spans="2:9" x14ac:dyDescent="0.25">
      <c r="B457" s="2">
        <f t="shared" si="23"/>
        <v>2026</v>
      </c>
      <c r="C457" s="2" t="str">
        <f t="shared" si="22"/>
        <v>September</v>
      </c>
      <c r="D457" s="2" t="str">
        <f t="shared" si="24"/>
        <v>Tuesday</v>
      </c>
      <c r="E457" s="4">
        <v>46294</v>
      </c>
      <c r="H457" s="3" t="str">
        <f>IF(OR(Table1[[#This Row],[US Holiday]]&lt;&gt;"", Table1[[#This Row],[India Holiday]]&lt;&gt;""), "Yes", "No")</f>
        <v>No</v>
      </c>
      <c r="I457" s="2">
        <f>IF(
  AND(
    WORKDAY(E457-1,1)=E457,
    _xlfn.CONCAT(F457:G457)=""
  ),
  _xlfn.MAXIFS(I$2:I456,C$2:C456,C457,B$2:B456,B457)+1,
  ""
)</f>
        <v>21</v>
      </c>
    </row>
    <row r="458" spans="2:9" x14ac:dyDescent="0.25">
      <c r="B458" s="2">
        <f t="shared" si="23"/>
        <v>2026</v>
      </c>
      <c r="C458" s="2" t="str">
        <f t="shared" si="22"/>
        <v>September</v>
      </c>
      <c r="D458" s="2" t="str">
        <f t="shared" si="24"/>
        <v>Wednesday</v>
      </c>
      <c r="E458" s="4">
        <v>46295</v>
      </c>
      <c r="H458" s="3" t="str">
        <f>IF(OR(Table1[[#This Row],[US Holiday]]&lt;&gt;"", Table1[[#This Row],[India Holiday]]&lt;&gt;""), "Yes", "No")</f>
        <v>No</v>
      </c>
      <c r="I458" s="2">
        <f>IF(
  AND(
    WORKDAY(E458-1,1)=E458,
    _xlfn.CONCAT(F458:G458)=""
  ),
  _xlfn.MAXIFS(I$2:I457,C$2:C457,C458,B$2:B457,B458)+1,
  ""
)</f>
        <v>22</v>
      </c>
    </row>
    <row r="459" spans="2:9" x14ac:dyDescent="0.25">
      <c r="B459" s="2">
        <f t="shared" si="23"/>
        <v>2026</v>
      </c>
      <c r="C459" s="2" t="str">
        <f t="shared" si="22"/>
        <v>October</v>
      </c>
      <c r="D459" s="2" t="str">
        <f t="shared" si="24"/>
        <v>Thursday</v>
      </c>
      <c r="E459" s="4">
        <v>46296</v>
      </c>
      <c r="H459" s="3" t="str">
        <f>IF(OR(Table1[[#This Row],[US Holiday]]&lt;&gt;"", Table1[[#This Row],[India Holiday]]&lt;&gt;""), "Yes", "No")</f>
        <v>No</v>
      </c>
      <c r="I459" s="2">
        <f>IF(
  AND(
    WORKDAY(E459-1,1)=E459,
    _xlfn.CONCAT(F459:G459)=""
  ),
  _xlfn.MAXIFS(I$2:I458,C$2:C458,C459,B$2:B458,B459)+1,
  ""
)</f>
        <v>1</v>
      </c>
    </row>
    <row r="460" spans="2:9" x14ac:dyDescent="0.25">
      <c r="B460" s="2">
        <f t="shared" si="23"/>
        <v>2026</v>
      </c>
      <c r="C460" s="2" t="str">
        <f t="shared" si="22"/>
        <v>October</v>
      </c>
      <c r="D460" s="2" t="str">
        <f t="shared" si="24"/>
        <v>Friday</v>
      </c>
      <c r="E460" s="4">
        <v>46297</v>
      </c>
      <c r="H460" s="3" t="str">
        <f>IF(OR(Table1[[#This Row],[US Holiday]]&lt;&gt;"", Table1[[#This Row],[India Holiday]]&lt;&gt;""), "Yes", "No")</f>
        <v>No</v>
      </c>
      <c r="I460" s="2">
        <f>IF(
  AND(
    WORKDAY(E460-1,1)=E460,
    _xlfn.CONCAT(F460:G460)=""
  ),
  _xlfn.MAXIFS(I$2:I459,C$2:C459,C460,B$2:B459,B460)+1,
  ""
)</f>
        <v>2</v>
      </c>
    </row>
    <row r="461" spans="2:9" x14ac:dyDescent="0.25">
      <c r="B461" s="2">
        <f t="shared" si="23"/>
        <v>2026</v>
      </c>
      <c r="C461" s="2" t="str">
        <f t="shared" si="22"/>
        <v>October</v>
      </c>
      <c r="D461" s="2" t="str">
        <f t="shared" si="24"/>
        <v>Saturday</v>
      </c>
      <c r="E461" s="4">
        <v>46298</v>
      </c>
      <c r="H461" s="3" t="str">
        <f>IF(OR(Table1[[#This Row],[US Holiday]]&lt;&gt;"", Table1[[#This Row],[India Holiday]]&lt;&gt;""), "Yes", "No")</f>
        <v>No</v>
      </c>
      <c r="I461" s="2" t="str">
        <f>IF(
  AND(
    WORKDAY(E461-1,1)=E461,
    _xlfn.CONCAT(F461:G461)=""
  ),
  _xlfn.MAXIFS(I$2:I460,C$2:C460,C461,B$2:B460,B461)+1,
  ""
)</f>
        <v/>
      </c>
    </row>
    <row r="462" spans="2:9" x14ac:dyDescent="0.25">
      <c r="B462" s="2">
        <f t="shared" si="23"/>
        <v>2026</v>
      </c>
      <c r="C462" s="2" t="str">
        <f t="shared" si="22"/>
        <v>October</v>
      </c>
      <c r="D462" s="2" t="str">
        <f t="shared" si="24"/>
        <v>Sunday</v>
      </c>
      <c r="E462" s="4">
        <v>46299</v>
      </c>
      <c r="H462" s="3" t="str">
        <f>IF(OR(Table1[[#This Row],[US Holiday]]&lt;&gt;"", Table1[[#This Row],[India Holiday]]&lt;&gt;""), "Yes", "No")</f>
        <v>No</v>
      </c>
      <c r="I462" s="2" t="str">
        <f>IF(
  AND(
    WORKDAY(E462-1,1)=E462,
    _xlfn.CONCAT(F462:G462)=""
  ),
  _xlfn.MAXIFS(I$2:I461,C$2:C461,C462,B$2:B461,B462)+1,
  ""
)</f>
        <v/>
      </c>
    </row>
    <row r="463" spans="2:9" x14ac:dyDescent="0.25">
      <c r="B463" s="2">
        <f t="shared" si="23"/>
        <v>2026</v>
      </c>
      <c r="C463" s="2" t="str">
        <f t="shared" si="22"/>
        <v>October</v>
      </c>
      <c r="D463" s="2" t="str">
        <f t="shared" si="24"/>
        <v>Monday</v>
      </c>
      <c r="E463" s="4">
        <v>46300</v>
      </c>
      <c r="H463" s="3" t="str">
        <f>IF(OR(Table1[[#This Row],[US Holiday]]&lt;&gt;"", Table1[[#This Row],[India Holiday]]&lt;&gt;""), "Yes", "No")</f>
        <v>No</v>
      </c>
      <c r="I463" s="2">
        <f>IF(
  AND(
    WORKDAY(E463-1,1)=E463,
    _xlfn.CONCAT(F463:G463)=""
  ),
  _xlfn.MAXIFS(I$2:I462,C$2:C462,C463,B$2:B462,B463)+1,
  ""
)</f>
        <v>3</v>
      </c>
    </row>
    <row r="464" spans="2:9" x14ac:dyDescent="0.25">
      <c r="B464" s="2">
        <f t="shared" si="23"/>
        <v>2026</v>
      </c>
      <c r="C464" s="2" t="str">
        <f t="shared" si="22"/>
        <v>October</v>
      </c>
      <c r="D464" s="2" t="str">
        <f t="shared" si="24"/>
        <v>Tuesday</v>
      </c>
      <c r="E464" s="4">
        <v>46301</v>
      </c>
      <c r="H464" s="3" t="str">
        <f>IF(OR(Table1[[#This Row],[US Holiday]]&lt;&gt;"", Table1[[#This Row],[India Holiday]]&lt;&gt;""), "Yes", "No")</f>
        <v>No</v>
      </c>
      <c r="I464" s="2">
        <f>IF(
  AND(
    WORKDAY(E464-1,1)=E464,
    _xlfn.CONCAT(F464:G464)=""
  ),
  _xlfn.MAXIFS(I$2:I463,C$2:C463,C464,B$2:B463,B464)+1,
  ""
)</f>
        <v>4</v>
      </c>
    </row>
    <row r="465" spans="2:9" x14ac:dyDescent="0.25">
      <c r="B465" s="2">
        <f t="shared" si="23"/>
        <v>2026</v>
      </c>
      <c r="C465" s="2" t="str">
        <f t="shared" si="22"/>
        <v>October</v>
      </c>
      <c r="D465" s="2" t="str">
        <f t="shared" si="24"/>
        <v>Wednesday</v>
      </c>
      <c r="E465" s="4">
        <v>46302</v>
      </c>
      <c r="H465" s="3" t="str">
        <f>IF(OR(Table1[[#This Row],[US Holiday]]&lt;&gt;"", Table1[[#This Row],[India Holiday]]&lt;&gt;""), "Yes", "No")</f>
        <v>No</v>
      </c>
      <c r="I465" s="2">
        <f>IF(
  AND(
    WORKDAY(E465-1,1)=E465,
    _xlfn.CONCAT(F465:G465)=""
  ),
  _xlfn.MAXIFS(I$2:I464,C$2:C464,C465,B$2:B464,B465)+1,
  ""
)</f>
        <v>5</v>
      </c>
    </row>
    <row r="466" spans="2:9" x14ac:dyDescent="0.25">
      <c r="B466" s="2">
        <f t="shared" si="23"/>
        <v>2026</v>
      </c>
      <c r="C466" s="2" t="str">
        <f t="shared" si="22"/>
        <v>October</v>
      </c>
      <c r="D466" s="2" t="str">
        <f t="shared" si="24"/>
        <v>Thursday</v>
      </c>
      <c r="E466" s="4">
        <v>46303</v>
      </c>
      <c r="H466" s="3" t="str">
        <f>IF(OR(Table1[[#This Row],[US Holiday]]&lt;&gt;"", Table1[[#This Row],[India Holiday]]&lt;&gt;""), "Yes", "No")</f>
        <v>No</v>
      </c>
      <c r="I466" s="2">
        <f>IF(
  AND(
    WORKDAY(E466-1,1)=E466,
    _xlfn.CONCAT(F466:G466)=""
  ),
  _xlfn.MAXIFS(I$2:I465,C$2:C465,C466,B$2:B465,B466)+1,
  ""
)</f>
        <v>6</v>
      </c>
    </row>
    <row r="467" spans="2:9" x14ac:dyDescent="0.25">
      <c r="B467" s="2">
        <f t="shared" si="23"/>
        <v>2026</v>
      </c>
      <c r="C467" s="2" t="str">
        <f t="shared" si="22"/>
        <v>October</v>
      </c>
      <c r="D467" s="2" t="str">
        <f t="shared" si="24"/>
        <v>Friday</v>
      </c>
      <c r="E467" s="4">
        <v>46304</v>
      </c>
      <c r="H467" s="3" t="str">
        <f>IF(OR(Table1[[#This Row],[US Holiday]]&lt;&gt;"", Table1[[#This Row],[India Holiday]]&lt;&gt;""), "Yes", "No")</f>
        <v>No</v>
      </c>
      <c r="I467" s="2">
        <f>IF(
  AND(
    WORKDAY(E467-1,1)=E467,
    _xlfn.CONCAT(F467:G467)=""
  ),
  _xlfn.MAXIFS(I$2:I466,C$2:C466,C467,B$2:B466,B467)+1,
  ""
)</f>
        <v>7</v>
      </c>
    </row>
    <row r="468" spans="2:9" x14ac:dyDescent="0.25">
      <c r="B468" s="2">
        <f t="shared" si="23"/>
        <v>2026</v>
      </c>
      <c r="C468" s="2" t="str">
        <f t="shared" si="22"/>
        <v>October</v>
      </c>
      <c r="D468" s="2" t="str">
        <f t="shared" si="24"/>
        <v>Saturday</v>
      </c>
      <c r="E468" s="4">
        <v>46305</v>
      </c>
      <c r="H468" s="3" t="str">
        <f>IF(OR(Table1[[#This Row],[US Holiday]]&lt;&gt;"", Table1[[#This Row],[India Holiday]]&lt;&gt;""), "Yes", "No")</f>
        <v>No</v>
      </c>
      <c r="I468" s="2" t="str">
        <f>IF(
  AND(
    WORKDAY(E468-1,1)=E468,
    _xlfn.CONCAT(F468:G468)=""
  ),
  _xlfn.MAXIFS(I$2:I467,C$2:C467,C468,B$2:B467,B468)+1,
  ""
)</f>
        <v/>
      </c>
    </row>
    <row r="469" spans="2:9" x14ac:dyDescent="0.25">
      <c r="B469" s="2">
        <f t="shared" si="23"/>
        <v>2026</v>
      </c>
      <c r="C469" s="2" t="str">
        <f t="shared" si="22"/>
        <v>October</v>
      </c>
      <c r="D469" s="2" t="str">
        <f t="shared" si="24"/>
        <v>Sunday</v>
      </c>
      <c r="E469" s="4">
        <v>46306</v>
      </c>
      <c r="H469" s="3" t="str">
        <f>IF(OR(Table1[[#This Row],[US Holiday]]&lt;&gt;"", Table1[[#This Row],[India Holiday]]&lt;&gt;""), "Yes", "No")</f>
        <v>No</v>
      </c>
      <c r="I469" s="2" t="str">
        <f>IF(
  AND(
    WORKDAY(E469-1,1)=E469,
    _xlfn.CONCAT(F469:G469)=""
  ),
  _xlfn.MAXIFS(I$2:I468,C$2:C468,C469,B$2:B468,B469)+1,
  ""
)</f>
        <v/>
      </c>
    </row>
    <row r="470" spans="2:9" x14ac:dyDescent="0.25">
      <c r="B470" s="2">
        <f t="shared" si="23"/>
        <v>2026</v>
      </c>
      <c r="C470" s="2" t="str">
        <f t="shared" si="22"/>
        <v>October</v>
      </c>
      <c r="D470" s="2" t="str">
        <f t="shared" si="24"/>
        <v>Monday</v>
      </c>
      <c r="E470" s="4">
        <v>46307</v>
      </c>
      <c r="H470" s="3" t="str">
        <f>IF(OR(Table1[[#This Row],[US Holiday]]&lt;&gt;"", Table1[[#This Row],[India Holiday]]&lt;&gt;""), "Yes", "No")</f>
        <v>No</v>
      </c>
      <c r="I470" s="2">
        <f>IF(
  AND(
    WORKDAY(E470-1,1)=E470,
    _xlfn.CONCAT(F470:G470)=""
  ),
  _xlfn.MAXIFS(I$2:I469,C$2:C469,C470,B$2:B469,B470)+1,
  ""
)</f>
        <v>8</v>
      </c>
    </row>
    <row r="471" spans="2:9" x14ac:dyDescent="0.25">
      <c r="B471" s="2">
        <f t="shared" si="23"/>
        <v>2026</v>
      </c>
      <c r="C471" s="2" t="str">
        <f t="shared" si="22"/>
        <v>October</v>
      </c>
      <c r="D471" s="2" t="str">
        <f t="shared" si="24"/>
        <v>Tuesday</v>
      </c>
      <c r="E471" s="4">
        <v>46308</v>
      </c>
      <c r="H471" s="3" t="str">
        <f>IF(OR(Table1[[#This Row],[US Holiday]]&lt;&gt;"", Table1[[#This Row],[India Holiday]]&lt;&gt;""), "Yes", "No")</f>
        <v>No</v>
      </c>
      <c r="I471" s="2">
        <f>IF(
  AND(
    WORKDAY(E471-1,1)=E471,
    _xlfn.CONCAT(F471:G471)=""
  ),
  _xlfn.MAXIFS(I$2:I470,C$2:C470,C471,B$2:B470,B471)+1,
  ""
)</f>
        <v>9</v>
      </c>
    </row>
    <row r="472" spans="2:9" x14ac:dyDescent="0.25">
      <c r="B472" s="2">
        <f t="shared" si="23"/>
        <v>2026</v>
      </c>
      <c r="C472" s="2" t="str">
        <f t="shared" si="22"/>
        <v>October</v>
      </c>
      <c r="D472" s="2" t="str">
        <f t="shared" si="24"/>
        <v>Wednesday</v>
      </c>
      <c r="E472" s="4">
        <v>46309</v>
      </c>
      <c r="H472" s="3" t="str">
        <f>IF(OR(Table1[[#This Row],[US Holiday]]&lt;&gt;"", Table1[[#This Row],[India Holiday]]&lt;&gt;""), "Yes", "No")</f>
        <v>No</v>
      </c>
      <c r="I472" s="2">
        <f>IF(
  AND(
    WORKDAY(E472-1,1)=E472,
    _xlfn.CONCAT(F472:G472)=""
  ),
  _xlfn.MAXIFS(I$2:I471,C$2:C471,C472,B$2:B471,B472)+1,
  ""
)</f>
        <v>10</v>
      </c>
    </row>
    <row r="473" spans="2:9" x14ac:dyDescent="0.25">
      <c r="B473" s="2">
        <f t="shared" si="23"/>
        <v>2026</v>
      </c>
      <c r="C473" s="2" t="str">
        <f t="shared" si="22"/>
        <v>October</v>
      </c>
      <c r="D473" s="2" t="str">
        <f t="shared" si="24"/>
        <v>Thursday</v>
      </c>
      <c r="E473" s="4">
        <v>46310</v>
      </c>
      <c r="H473" s="3" t="str">
        <f>IF(OR(Table1[[#This Row],[US Holiday]]&lt;&gt;"", Table1[[#This Row],[India Holiday]]&lt;&gt;""), "Yes", "No")</f>
        <v>No</v>
      </c>
      <c r="I473" s="2">
        <f>IF(
  AND(
    WORKDAY(E473-1,1)=E473,
    _xlfn.CONCAT(F473:G473)=""
  ),
  _xlfn.MAXIFS(I$2:I472,C$2:C472,C473,B$2:B472,B473)+1,
  ""
)</f>
        <v>11</v>
      </c>
    </row>
    <row r="474" spans="2:9" x14ac:dyDescent="0.25">
      <c r="B474" s="2">
        <f t="shared" si="23"/>
        <v>2026</v>
      </c>
      <c r="C474" s="2" t="str">
        <f t="shared" si="22"/>
        <v>October</v>
      </c>
      <c r="D474" s="2" t="str">
        <f t="shared" si="24"/>
        <v>Friday</v>
      </c>
      <c r="E474" s="4">
        <v>46311</v>
      </c>
      <c r="H474" s="3" t="str">
        <f>IF(OR(Table1[[#This Row],[US Holiday]]&lt;&gt;"", Table1[[#This Row],[India Holiday]]&lt;&gt;""), "Yes", "No")</f>
        <v>No</v>
      </c>
      <c r="I474" s="2">
        <f>IF(
  AND(
    WORKDAY(E474-1,1)=E474,
    _xlfn.CONCAT(F474:G474)=""
  ),
  _xlfn.MAXIFS(I$2:I473,C$2:C473,C474,B$2:B473,B474)+1,
  ""
)</f>
        <v>12</v>
      </c>
    </row>
    <row r="475" spans="2:9" x14ac:dyDescent="0.25">
      <c r="B475" s="2">
        <f t="shared" si="23"/>
        <v>2026</v>
      </c>
      <c r="C475" s="2" t="str">
        <f t="shared" si="22"/>
        <v>October</v>
      </c>
      <c r="D475" s="2" t="str">
        <f t="shared" si="24"/>
        <v>Saturday</v>
      </c>
      <c r="E475" s="4">
        <v>46312</v>
      </c>
      <c r="H475" s="3" t="str">
        <f>IF(OR(Table1[[#This Row],[US Holiday]]&lt;&gt;"", Table1[[#This Row],[India Holiday]]&lt;&gt;""), "Yes", "No")</f>
        <v>No</v>
      </c>
      <c r="I475" s="2" t="str">
        <f>IF(
  AND(
    WORKDAY(E475-1,1)=E475,
    _xlfn.CONCAT(F475:G475)=""
  ),
  _xlfn.MAXIFS(I$2:I474,C$2:C474,C475,B$2:B474,B475)+1,
  ""
)</f>
        <v/>
      </c>
    </row>
    <row r="476" spans="2:9" x14ac:dyDescent="0.25">
      <c r="B476" s="2">
        <f t="shared" si="23"/>
        <v>2026</v>
      </c>
      <c r="C476" s="2" t="str">
        <f t="shared" si="22"/>
        <v>October</v>
      </c>
      <c r="D476" s="2" t="str">
        <f t="shared" si="24"/>
        <v>Sunday</v>
      </c>
      <c r="E476" s="4">
        <v>46313</v>
      </c>
      <c r="H476" s="3" t="str">
        <f>IF(OR(Table1[[#This Row],[US Holiday]]&lt;&gt;"", Table1[[#This Row],[India Holiday]]&lt;&gt;""), "Yes", "No")</f>
        <v>No</v>
      </c>
      <c r="I476" s="2" t="str">
        <f>IF(
  AND(
    WORKDAY(E476-1,1)=E476,
    _xlfn.CONCAT(F476:G476)=""
  ),
  _xlfn.MAXIFS(I$2:I475,C$2:C475,C476,B$2:B475,B476)+1,
  ""
)</f>
        <v/>
      </c>
    </row>
    <row r="477" spans="2:9" x14ac:dyDescent="0.25">
      <c r="B477" s="2">
        <f t="shared" si="23"/>
        <v>2026</v>
      </c>
      <c r="C477" s="2" t="str">
        <f t="shared" si="22"/>
        <v>October</v>
      </c>
      <c r="D477" s="2" t="str">
        <f t="shared" si="24"/>
        <v>Monday</v>
      </c>
      <c r="E477" s="4">
        <v>46314</v>
      </c>
      <c r="H477" s="3" t="str">
        <f>IF(OR(Table1[[#This Row],[US Holiday]]&lt;&gt;"", Table1[[#This Row],[India Holiday]]&lt;&gt;""), "Yes", "No")</f>
        <v>No</v>
      </c>
      <c r="I477" s="2">
        <f>IF(
  AND(
    WORKDAY(E477-1,1)=E477,
    _xlfn.CONCAT(F477:G477)=""
  ),
  _xlfn.MAXIFS(I$2:I476,C$2:C476,C477,B$2:B476,B477)+1,
  ""
)</f>
        <v>13</v>
      </c>
    </row>
    <row r="478" spans="2:9" x14ac:dyDescent="0.25">
      <c r="B478" s="2">
        <f t="shared" si="23"/>
        <v>2026</v>
      </c>
      <c r="C478" s="2" t="str">
        <f t="shared" si="22"/>
        <v>October</v>
      </c>
      <c r="D478" s="2" t="str">
        <f t="shared" si="24"/>
        <v>Tuesday</v>
      </c>
      <c r="E478" s="4">
        <v>46315</v>
      </c>
      <c r="H478" s="3" t="str">
        <f>IF(OR(Table1[[#This Row],[US Holiday]]&lt;&gt;"", Table1[[#This Row],[India Holiday]]&lt;&gt;""), "Yes", "No")</f>
        <v>No</v>
      </c>
      <c r="I478" s="2">
        <f>IF(
  AND(
    WORKDAY(E478-1,1)=E478,
    _xlfn.CONCAT(F478:G478)=""
  ),
  _xlfn.MAXIFS(I$2:I477,C$2:C477,C478,B$2:B477,B478)+1,
  ""
)</f>
        <v>14</v>
      </c>
    </row>
    <row r="479" spans="2:9" x14ac:dyDescent="0.25">
      <c r="B479" s="2">
        <f t="shared" si="23"/>
        <v>2026</v>
      </c>
      <c r="C479" s="2" t="str">
        <f t="shared" si="22"/>
        <v>October</v>
      </c>
      <c r="D479" s="2" t="str">
        <f t="shared" si="24"/>
        <v>Wednesday</v>
      </c>
      <c r="E479" s="4">
        <v>46316</v>
      </c>
      <c r="H479" s="3" t="str">
        <f>IF(OR(Table1[[#This Row],[US Holiday]]&lt;&gt;"", Table1[[#This Row],[India Holiday]]&lt;&gt;""), "Yes", "No")</f>
        <v>No</v>
      </c>
      <c r="I479" s="2">
        <f>IF(
  AND(
    WORKDAY(E479-1,1)=E479,
    _xlfn.CONCAT(F479:G479)=""
  ),
  _xlfn.MAXIFS(I$2:I478,C$2:C478,C479,B$2:B478,B479)+1,
  ""
)</f>
        <v>15</v>
      </c>
    </row>
    <row r="480" spans="2:9" x14ac:dyDescent="0.25">
      <c r="B480" s="2">
        <f t="shared" si="23"/>
        <v>2026</v>
      </c>
      <c r="C480" s="2" t="str">
        <f t="shared" si="22"/>
        <v>October</v>
      </c>
      <c r="D480" s="2" t="str">
        <f t="shared" si="24"/>
        <v>Thursday</v>
      </c>
      <c r="E480" s="4">
        <v>46317</v>
      </c>
      <c r="H480" s="3" t="str">
        <f>IF(OR(Table1[[#This Row],[US Holiday]]&lt;&gt;"", Table1[[#This Row],[India Holiday]]&lt;&gt;""), "Yes", "No")</f>
        <v>No</v>
      </c>
      <c r="I480" s="2">
        <f>IF(
  AND(
    WORKDAY(E480-1,1)=E480,
    _xlfn.CONCAT(F480:G480)=""
  ),
  _xlfn.MAXIFS(I$2:I479,C$2:C479,C480,B$2:B479,B480)+1,
  ""
)</f>
        <v>16</v>
      </c>
    </row>
    <row r="481" spans="2:9" x14ac:dyDescent="0.25">
      <c r="B481" s="2">
        <f t="shared" si="23"/>
        <v>2026</v>
      </c>
      <c r="C481" s="2" t="str">
        <f t="shared" si="22"/>
        <v>October</v>
      </c>
      <c r="D481" s="2" t="str">
        <f t="shared" si="24"/>
        <v>Friday</v>
      </c>
      <c r="E481" s="4">
        <v>46318</v>
      </c>
      <c r="H481" s="3" t="str">
        <f>IF(OR(Table1[[#This Row],[US Holiday]]&lt;&gt;"", Table1[[#This Row],[India Holiday]]&lt;&gt;""), "Yes", "No")</f>
        <v>No</v>
      </c>
      <c r="I481" s="2">
        <f>IF(
  AND(
    WORKDAY(E481-1,1)=E481,
    _xlfn.CONCAT(F481:G481)=""
  ),
  _xlfn.MAXIFS(I$2:I480,C$2:C480,C481,B$2:B480,B481)+1,
  ""
)</f>
        <v>17</v>
      </c>
    </row>
    <row r="482" spans="2:9" x14ac:dyDescent="0.25">
      <c r="B482" s="2">
        <f t="shared" si="23"/>
        <v>2026</v>
      </c>
      <c r="C482" s="2" t="str">
        <f t="shared" si="22"/>
        <v>October</v>
      </c>
      <c r="D482" s="2" t="str">
        <f t="shared" si="24"/>
        <v>Saturday</v>
      </c>
      <c r="E482" s="4">
        <v>46319</v>
      </c>
      <c r="H482" s="3" t="str">
        <f>IF(OR(Table1[[#This Row],[US Holiday]]&lt;&gt;"", Table1[[#This Row],[India Holiday]]&lt;&gt;""), "Yes", "No")</f>
        <v>No</v>
      </c>
      <c r="I482" s="2" t="str">
        <f>IF(
  AND(
    WORKDAY(E482-1,1)=E482,
    _xlfn.CONCAT(F482:G482)=""
  ),
  _xlfn.MAXIFS(I$2:I481,C$2:C481,C482,B$2:B481,B482)+1,
  ""
)</f>
        <v/>
      </c>
    </row>
    <row r="483" spans="2:9" x14ac:dyDescent="0.25">
      <c r="B483" s="2">
        <f t="shared" si="23"/>
        <v>2026</v>
      </c>
      <c r="C483" s="2" t="str">
        <f t="shared" si="22"/>
        <v>October</v>
      </c>
      <c r="D483" s="2" t="str">
        <f t="shared" si="24"/>
        <v>Sunday</v>
      </c>
      <c r="E483" s="4">
        <v>46320</v>
      </c>
      <c r="H483" s="3" t="str">
        <f>IF(OR(Table1[[#This Row],[US Holiday]]&lt;&gt;"", Table1[[#This Row],[India Holiday]]&lt;&gt;""), "Yes", "No")</f>
        <v>No</v>
      </c>
      <c r="I483" s="2" t="str">
        <f>IF(
  AND(
    WORKDAY(E483-1,1)=E483,
    _xlfn.CONCAT(F483:G483)=""
  ),
  _xlfn.MAXIFS(I$2:I482,C$2:C482,C483,B$2:B482,B483)+1,
  ""
)</f>
        <v/>
      </c>
    </row>
    <row r="484" spans="2:9" x14ac:dyDescent="0.25">
      <c r="B484" s="2">
        <f t="shared" si="23"/>
        <v>2026</v>
      </c>
      <c r="C484" s="2" t="str">
        <f t="shared" si="22"/>
        <v>October</v>
      </c>
      <c r="D484" s="2" t="str">
        <f t="shared" si="24"/>
        <v>Monday</v>
      </c>
      <c r="E484" s="4">
        <v>46321</v>
      </c>
      <c r="H484" s="3" t="str">
        <f>IF(OR(Table1[[#This Row],[US Holiday]]&lt;&gt;"", Table1[[#This Row],[India Holiday]]&lt;&gt;""), "Yes", "No")</f>
        <v>No</v>
      </c>
      <c r="I484" s="2">
        <f>IF(
  AND(
    WORKDAY(E484-1,1)=E484,
    _xlfn.CONCAT(F484:G484)=""
  ),
  _xlfn.MAXIFS(I$2:I483,C$2:C483,C484,B$2:B483,B484)+1,
  ""
)</f>
        <v>18</v>
      </c>
    </row>
    <row r="485" spans="2:9" x14ac:dyDescent="0.25">
      <c r="B485" s="2">
        <f t="shared" si="23"/>
        <v>2026</v>
      </c>
      <c r="C485" s="2" t="str">
        <f t="shared" si="22"/>
        <v>October</v>
      </c>
      <c r="D485" s="2" t="str">
        <f t="shared" si="24"/>
        <v>Tuesday</v>
      </c>
      <c r="E485" s="4">
        <v>46322</v>
      </c>
      <c r="H485" s="3" t="str">
        <f>IF(OR(Table1[[#This Row],[US Holiday]]&lt;&gt;"", Table1[[#This Row],[India Holiday]]&lt;&gt;""), "Yes", "No")</f>
        <v>No</v>
      </c>
      <c r="I485" s="2">
        <f>IF(
  AND(
    WORKDAY(E485-1,1)=E485,
    _xlfn.CONCAT(F485:G485)=""
  ),
  _xlfn.MAXIFS(I$2:I484,C$2:C484,C485,B$2:B484,B485)+1,
  ""
)</f>
        <v>19</v>
      </c>
    </row>
    <row r="486" spans="2:9" x14ac:dyDescent="0.25">
      <c r="B486" s="2">
        <f t="shared" si="23"/>
        <v>2026</v>
      </c>
      <c r="C486" s="2" t="str">
        <f t="shared" si="22"/>
        <v>October</v>
      </c>
      <c r="D486" s="2" t="str">
        <f t="shared" si="24"/>
        <v>Wednesday</v>
      </c>
      <c r="E486" s="4">
        <v>46323</v>
      </c>
      <c r="H486" s="3" t="str">
        <f>IF(OR(Table1[[#This Row],[US Holiday]]&lt;&gt;"", Table1[[#This Row],[India Holiday]]&lt;&gt;""), "Yes", "No")</f>
        <v>No</v>
      </c>
      <c r="I486" s="2">
        <f>IF(
  AND(
    WORKDAY(E486-1,1)=E486,
    _xlfn.CONCAT(F486:G486)=""
  ),
  _xlfn.MAXIFS(I$2:I485,C$2:C485,C486,B$2:B485,B486)+1,
  ""
)</f>
        <v>20</v>
      </c>
    </row>
    <row r="487" spans="2:9" x14ac:dyDescent="0.25">
      <c r="B487" s="2">
        <f t="shared" si="23"/>
        <v>2026</v>
      </c>
      <c r="C487" s="2" t="str">
        <f t="shared" si="22"/>
        <v>October</v>
      </c>
      <c r="D487" s="2" t="str">
        <f t="shared" si="24"/>
        <v>Thursday</v>
      </c>
      <c r="E487" s="4">
        <v>46324</v>
      </c>
      <c r="H487" s="3" t="str">
        <f>IF(OR(Table1[[#This Row],[US Holiday]]&lt;&gt;"", Table1[[#This Row],[India Holiday]]&lt;&gt;""), "Yes", "No")</f>
        <v>No</v>
      </c>
      <c r="I487" s="2">
        <f>IF(
  AND(
    WORKDAY(E487-1,1)=E487,
    _xlfn.CONCAT(F487:G487)=""
  ),
  _xlfn.MAXIFS(I$2:I486,C$2:C486,C487,B$2:B486,B487)+1,
  ""
)</f>
        <v>21</v>
      </c>
    </row>
    <row r="488" spans="2:9" x14ac:dyDescent="0.25">
      <c r="B488" s="2">
        <f t="shared" si="23"/>
        <v>2026</v>
      </c>
      <c r="C488" s="2" t="str">
        <f t="shared" si="22"/>
        <v>October</v>
      </c>
      <c r="D488" s="2" t="str">
        <f t="shared" si="24"/>
        <v>Friday</v>
      </c>
      <c r="E488" s="4">
        <v>46325</v>
      </c>
      <c r="H488" s="3" t="str">
        <f>IF(OR(Table1[[#This Row],[US Holiday]]&lt;&gt;"", Table1[[#This Row],[India Holiday]]&lt;&gt;""), "Yes", "No")</f>
        <v>No</v>
      </c>
      <c r="I488" s="2">
        <f>IF(
  AND(
    WORKDAY(E488-1,1)=E488,
    _xlfn.CONCAT(F488:G488)=""
  ),
  _xlfn.MAXIFS(I$2:I487,C$2:C487,C488,B$2:B487,B488)+1,
  ""
)</f>
        <v>22</v>
      </c>
    </row>
    <row r="489" spans="2:9" x14ac:dyDescent="0.25">
      <c r="B489" s="2">
        <f t="shared" si="23"/>
        <v>2026</v>
      </c>
      <c r="C489" s="2" t="str">
        <f t="shared" si="22"/>
        <v>October</v>
      </c>
      <c r="D489" s="2" t="str">
        <f t="shared" si="24"/>
        <v>Saturday</v>
      </c>
      <c r="E489" s="4">
        <v>46326</v>
      </c>
      <c r="H489" s="3" t="str">
        <f>IF(OR(Table1[[#This Row],[US Holiday]]&lt;&gt;"", Table1[[#This Row],[India Holiday]]&lt;&gt;""), "Yes", "No")</f>
        <v>No</v>
      </c>
      <c r="I489" s="2" t="str">
        <f>IF(
  AND(
    WORKDAY(E489-1,1)=E489,
    _xlfn.CONCAT(F489:G489)=""
  ),
  _xlfn.MAXIFS(I$2:I488,C$2:C488,C489,B$2:B488,B489)+1,
  ""
)</f>
        <v/>
      </c>
    </row>
    <row r="490" spans="2:9" x14ac:dyDescent="0.25">
      <c r="B490" s="2">
        <f t="shared" si="23"/>
        <v>2026</v>
      </c>
      <c r="C490" s="2" t="str">
        <f t="shared" si="22"/>
        <v>November</v>
      </c>
      <c r="D490" s="2" t="str">
        <f t="shared" si="24"/>
        <v>Sunday</v>
      </c>
      <c r="E490" s="4">
        <v>46327</v>
      </c>
      <c r="H490" s="3" t="str">
        <f>IF(OR(Table1[[#This Row],[US Holiday]]&lt;&gt;"", Table1[[#This Row],[India Holiday]]&lt;&gt;""), "Yes", "No")</f>
        <v>No</v>
      </c>
      <c r="I490" s="2" t="str">
        <f>IF(
  AND(
    WORKDAY(E490-1,1)=E490,
    _xlfn.CONCAT(F490:G490)=""
  ),
  _xlfn.MAXIFS(I$2:I489,C$2:C489,C490,B$2:B489,B490)+1,
  ""
)</f>
        <v/>
      </c>
    </row>
    <row r="491" spans="2:9" x14ac:dyDescent="0.25">
      <c r="B491" s="2">
        <f t="shared" si="23"/>
        <v>2026</v>
      </c>
      <c r="C491" s="2" t="str">
        <f t="shared" si="22"/>
        <v>November</v>
      </c>
      <c r="D491" s="2" t="str">
        <f t="shared" si="24"/>
        <v>Monday</v>
      </c>
      <c r="E491" s="4">
        <v>46328</v>
      </c>
      <c r="H491" s="3" t="str">
        <f>IF(OR(Table1[[#This Row],[US Holiday]]&lt;&gt;"", Table1[[#This Row],[India Holiday]]&lt;&gt;""), "Yes", "No")</f>
        <v>No</v>
      </c>
      <c r="I491" s="2">
        <f>IF(
  AND(
    WORKDAY(E491-1,1)=E491,
    _xlfn.CONCAT(F491:G491)=""
  ),
  _xlfn.MAXIFS(I$2:I490,C$2:C490,C491,B$2:B490,B491)+1,
  ""
)</f>
        <v>1</v>
      </c>
    </row>
    <row r="492" spans="2:9" x14ac:dyDescent="0.25">
      <c r="B492" s="2">
        <f t="shared" si="23"/>
        <v>2026</v>
      </c>
      <c r="C492" s="2" t="str">
        <f t="shared" si="22"/>
        <v>November</v>
      </c>
      <c r="D492" s="2" t="str">
        <f t="shared" si="24"/>
        <v>Tuesday</v>
      </c>
      <c r="E492" s="4">
        <v>46329</v>
      </c>
      <c r="H492" s="3" t="str">
        <f>IF(OR(Table1[[#This Row],[US Holiday]]&lt;&gt;"", Table1[[#This Row],[India Holiday]]&lt;&gt;""), "Yes", "No")</f>
        <v>No</v>
      </c>
      <c r="I492" s="2">
        <f>IF(
  AND(
    WORKDAY(E492-1,1)=E492,
    _xlfn.CONCAT(F492:G492)=""
  ),
  _xlfn.MAXIFS(I$2:I491,C$2:C491,C492,B$2:B491,B492)+1,
  ""
)</f>
        <v>2</v>
      </c>
    </row>
    <row r="493" spans="2:9" x14ac:dyDescent="0.25">
      <c r="B493" s="2">
        <f t="shared" si="23"/>
        <v>2026</v>
      </c>
      <c r="C493" s="2" t="str">
        <f t="shared" si="22"/>
        <v>November</v>
      </c>
      <c r="D493" s="2" t="str">
        <f t="shared" si="24"/>
        <v>Wednesday</v>
      </c>
      <c r="E493" s="4">
        <v>46330</v>
      </c>
      <c r="H493" s="3" t="str">
        <f>IF(OR(Table1[[#This Row],[US Holiday]]&lt;&gt;"", Table1[[#This Row],[India Holiday]]&lt;&gt;""), "Yes", "No")</f>
        <v>No</v>
      </c>
      <c r="I493" s="2">
        <f>IF(
  AND(
    WORKDAY(E493-1,1)=E493,
    _xlfn.CONCAT(F493:G493)=""
  ),
  _xlfn.MAXIFS(I$2:I492,C$2:C492,C493,B$2:B492,B493)+1,
  ""
)</f>
        <v>3</v>
      </c>
    </row>
    <row r="494" spans="2:9" x14ac:dyDescent="0.25">
      <c r="B494" s="2">
        <f t="shared" si="23"/>
        <v>2026</v>
      </c>
      <c r="C494" s="2" t="str">
        <f t="shared" si="22"/>
        <v>November</v>
      </c>
      <c r="D494" s="2" t="str">
        <f t="shared" si="24"/>
        <v>Thursday</v>
      </c>
      <c r="E494" s="4">
        <v>46331</v>
      </c>
      <c r="H494" s="3" t="str">
        <f>IF(OR(Table1[[#This Row],[US Holiday]]&lt;&gt;"", Table1[[#This Row],[India Holiday]]&lt;&gt;""), "Yes", "No")</f>
        <v>No</v>
      </c>
      <c r="I494" s="2">
        <f>IF(
  AND(
    WORKDAY(E494-1,1)=E494,
    _xlfn.CONCAT(F494:G494)=""
  ),
  _xlfn.MAXIFS(I$2:I493,C$2:C493,C494,B$2:B493,B494)+1,
  ""
)</f>
        <v>4</v>
      </c>
    </row>
    <row r="495" spans="2:9" x14ac:dyDescent="0.25">
      <c r="B495" s="2">
        <f t="shared" si="23"/>
        <v>2026</v>
      </c>
      <c r="C495" s="2" t="str">
        <f t="shared" si="22"/>
        <v>November</v>
      </c>
      <c r="D495" s="2" t="str">
        <f t="shared" si="24"/>
        <v>Friday</v>
      </c>
      <c r="E495" s="4">
        <v>46332</v>
      </c>
      <c r="H495" s="3" t="str">
        <f>IF(OR(Table1[[#This Row],[US Holiday]]&lt;&gt;"", Table1[[#This Row],[India Holiday]]&lt;&gt;""), "Yes", "No")</f>
        <v>No</v>
      </c>
      <c r="I495" s="2">
        <f>IF(
  AND(
    WORKDAY(E495-1,1)=E495,
    _xlfn.CONCAT(F495:G495)=""
  ),
  _xlfn.MAXIFS(I$2:I494,C$2:C494,C495,B$2:B494,B495)+1,
  ""
)</f>
        <v>5</v>
      </c>
    </row>
    <row r="496" spans="2:9" x14ac:dyDescent="0.25">
      <c r="B496" s="2">
        <f t="shared" si="23"/>
        <v>2026</v>
      </c>
      <c r="C496" s="2" t="str">
        <f t="shared" si="22"/>
        <v>November</v>
      </c>
      <c r="D496" s="2" t="str">
        <f t="shared" si="24"/>
        <v>Saturday</v>
      </c>
      <c r="E496" s="4">
        <v>46333</v>
      </c>
      <c r="H496" s="3" t="str">
        <f>IF(OR(Table1[[#This Row],[US Holiday]]&lt;&gt;"", Table1[[#This Row],[India Holiday]]&lt;&gt;""), "Yes", "No")</f>
        <v>No</v>
      </c>
      <c r="I496" s="2" t="str">
        <f>IF(
  AND(
    WORKDAY(E496-1,1)=E496,
    _xlfn.CONCAT(F496:G496)=""
  ),
  _xlfn.MAXIFS(I$2:I495,C$2:C495,C496,B$2:B495,B496)+1,
  ""
)</f>
        <v/>
      </c>
    </row>
    <row r="497" spans="2:9" x14ac:dyDescent="0.25">
      <c r="B497" s="2">
        <f t="shared" si="23"/>
        <v>2026</v>
      </c>
      <c r="C497" s="2" t="str">
        <f t="shared" si="22"/>
        <v>November</v>
      </c>
      <c r="D497" s="2" t="str">
        <f t="shared" si="24"/>
        <v>Sunday</v>
      </c>
      <c r="E497" s="4">
        <v>46334</v>
      </c>
      <c r="H497" s="3" t="str">
        <f>IF(OR(Table1[[#This Row],[US Holiday]]&lt;&gt;"", Table1[[#This Row],[India Holiday]]&lt;&gt;""), "Yes", "No")</f>
        <v>No</v>
      </c>
      <c r="I497" s="2" t="str">
        <f>IF(
  AND(
    WORKDAY(E497-1,1)=E497,
    _xlfn.CONCAT(F497:G497)=""
  ),
  _xlfn.MAXIFS(I$2:I496,C$2:C496,C497,B$2:B496,B497)+1,
  ""
)</f>
        <v/>
      </c>
    </row>
    <row r="498" spans="2:9" x14ac:dyDescent="0.25">
      <c r="B498" s="2">
        <f t="shared" si="23"/>
        <v>2026</v>
      </c>
      <c r="C498" s="2" t="str">
        <f t="shared" si="22"/>
        <v>November</v>
      </c>
      <c r="D498" s="2" t="str">
        <f t="shared" si="24"/>
        <v>Monday</v>
      </c>
      <c r="E498" s="4">
        <v>46335</v>
      </c>
      <c r="H498" s="3" t="str">
        <f>IF(OR(Table1[[#This Row],[US Holiday]]&lt;&gt;"", Table1[[#This Row],[India Holiday]]&lt;&gt;""), "Yes", "No")</f>
        <v>No</v>
      </c>
      <c r="I498" s="2">
        <f>IF(
  AND(
    WORKDAY(E498-1,1)=E498,
    _xlfn.CONCAT(F498:G498)=""
  ),
  _xlfn.MAXIFS(I$2:I497,C$2:C497,C498,B$2:B497,B498)+1,
  ""
)</f>
        <v>6</v>
      </c>
    </row>
    <row r="499" spans="2:9" x14ac:dyDescent="0.25">
      <c r="B499" s="2">
        <f t="shared" si="23"/>
        <v>2026</v>
      </c>
      <c r="C499" s="2" t="str">
        <f t="shared" si="22"/>
        <v>November</v>
      </c>
      <c r="D499" s="2" t="str">
        <f t="shared" si="24"/>
        <v>Tuesday</v>
      </c>
      <c r="E499" s="4">
        <v>46336</v>
      </c>
      <c r="H499" s="3" t="str">
        <f>IF(OR(Table1[[#This Row],[US Holiday]]&lt;&gt;"", Table1[[#This Row],[India Holiday]]&lt;&gt;""), "Yes", "No")</f>
        <v>No</v>
      </c>
      <c r="I499" s="2">
        <f>IF(
  AND(
    WORKDAY(E499-1,1)=E499,
    _xlfn.CONCAT(F499:G499)=""
  ),
  _xlfn.MAXIFS(I$2:I498,C$2:C498,C499,B$2:B498,B499)+1,
  ""
)</f>
        <v>7</v>
      </c>
    </row>
    <row r="500" spans="2:9" x14ac:dyDescent="0.25">
      <c r="B500" s="2">
        <f t="shared" si="23"/>
        <v>2026</v>
      </c>
      <c r="C500" s="2" t="str">
        <f t="shared" si="22"/>
        <v>November</v>
      </c>
      <c r="D500" s="2" t="str">
        <f t="shared" si="24"/>
        <v>Wednesday</v>
      </c>
      <c r="E500" s="4">
        <v>46337</v>
      </c>
      <c r="H500" s="3" t="str">
        <f>IF(OR(Table1[[#This Row],[US Holiday]]&lt;&gt;"", Table1[[#This Row],[India Holiday]]&lt;&gt;""), "Yes", "No")</f>
        <v>No</v>
      </c>
      <c r="I500" s="2">
        <f>IF(
  AND(
    WORKDAY(E500-1,1)=E500,
    _xlfn.CONCAT(F500:G500)=""
  ),
  _xlfn.MAXIFS(I$2:I499,C$2:C499,C500,B$2:B499,B500)+1,
  ""
)</f>
        <v>8</v>
      </c>
    </row>
    <row r="501" spans="2:9" x14ac:dyDescent="0.25">
      <c r="B501" s="2">
        <f t="shared" si="23"/>
        <v>2026</v>
      </c>
      <c r="C501" s="2" t="str">
        <f t="shared" si="22"/>
        <v>November</v>
      </c>
      <c r="D501" s="2" t="str">
        <f t="shared" si="24"/>
        <v>Thursday</v>
      </c>
      <c r="E501" s="4">
        <v>46338</v>
      </c>
      <c r="H501" s="3" t="str">
        <f>IF(OR(Table1[[#This Row],[US Holiday]]&lt;&gt;"", Table1[[#This Row],[India Holiday]]&lt;&gt;""), "Yes", "No")</f>
        <v>No</v>
      </c>
      <c r="I501" s="2">
        <f>IF(
  AND(
    WORKDAY(E501-1,1)=E501,
    _xlfn.CONCAT(F501:G501)=""
  ),
  _xlfn.MAXIFS(I$2:I500,C$2:C500,C501,B$2:B500,B501)+1,
  ""
)</f>
        <v>9</v>
      </c>
    </row>
    <row r="502" spans="2:9" x14ac:dyDescent="0.25">
      <c r="B502" s="2">
        <f t="shared" si="23"/>
        <v>2026</v>
      </c>
      <c r="C502" s="2" t="str">
        <f t="shared" si="22"/>
        <v>November</v>
      </c>
      <c r="D502" s="2" t="str">
        <f t="shared" si="24"/>
        <v>Friday</v>
      </c>
      <c r="E502" s="4">
        <v>46339</v>
      </c>
      <c r="H502" s="3" t="str">
        <f>IF(OR(Table1[[#This Row],[US Holiday]]&lt;&gt;"", Table1[[#This Row],[India Holiday]]&lt;&gt;""), "Yes", "No")</f>
        <v>No</v>
      </c>
      <c r="I502" s="2">
        <f>IF(
  AND(
    WORKDAY(E502-1,1)=E502,
    _xlfn.CONCAT(F502:G502)=""
  ),
  _xlfn.MAXIFS(I$2:I501,C$2:C501,C502,B$2:B501,B502)+1,
  ""
)</f>
        <v>10</v>
      </c>
    </row>
    <row r="503" spans="2:9" x14ac:dyDescent="0.25">
      <c r="B503" s="2">
        <f t="shared" si="23"/>
        <v>2026</v>
      </c>
      <c r="C503" s="2" t="str">
        <f t="shared" si="22"/>
        <v>November</v>
      </c>
      <c r="D503" s="2" t="str">
        <f t="shared" si="24"/>
        <v>Saturday</v>
      </c>
      <c r="E503" s="4">
        <v>46340</v>
      </c>
      <c r="H503" s="3" t="str">
        <f>IF(OR(Table1[[#This Row],[US Holiday]]&lt;&gt;"", Table1[[#This Row],[India Holiday]]&lt;&gt;""), "Yes", "No")</f>
        <v>No</v>
      </c>
      <c r="I503" s="2" t="str">
        <f>IF(
  AND(
    WORKDAY(E503-1,1)=E503,
    _xlfn.CONCAT(F503:G503)=""
  ),
  _xlfn.MAXIFS(I$2:I502,C$2:C502,C503,B$2:B502,B503)+1,
  ""
)</f>
        <v/>
      </c>
    </row>
    <row r="504" spans="2:9" x14ac:dyDescent="0.25">
      <c r="B504" s="2">
        <f t="shared" si="23"/>
        <v>2026</v>
      </c>
      <c r="C504" s="2" t="str">
        <f t="shared" si="22"/>
        <v>November</v>
      </c>
      <c r="D504" s="2" t="str">
        <f t="shared" si="24"/>
        <v>Sunday</v>
      </c>
      <c r="E504" s="4">
        <v>46341</v>
      </c>
      <c r="H504" s="3" t="str">
        <f>IF(OR(Table1[[#This Row],[US Holiday]]&lt;&gt;"", Table1[[#This Row],[India Holiday]]&lt;&gt;""), "Yes", "No")</f>
        <v>No</v>
      </c>
      <c r="I504" s="2" t="str">
        <f>IF(
  AND(
    WORKDAY(E504-1,1)=E504,
    _xlfn.CONCAT(F504:G504)=""
  ),
  _xlfn.MAXIFS(I$2:I503,C$2:C503,C504,B$2:B503,B504)+1,
  ""
)</f>
        <v/>
      </c>
    </row>
    <row r="505" spans="2:9" x14ac:dyDescent="0.25">
      <c r="B505" s="2">
        <f t="shared" si="23"/>
        <v>2026</v>
      </c>
      <c r="C505" s="2" t="str">
        <f t="shared" si="22"/>
        <v>November</v>
      </c>
      <c r="D505" s="2" t="str">
        <f t="shared" si="24"/>
        <v>Monday</v>
      </c>
      <c r="E505" s="4">
        <v>46342</v>
      </c>
      <c r="H505" s="3" t="str">
        <f>IF(OR(Table1[[#This Row],[US Holiday]]&lt;&gt;"", Table1[[#This Row],[India Holiday]]&lt;&gt;""), "Yes", "No")</f>
        <v>No</v>
      </c>
      <c r="I505" s="2">
        <f>IF(
  AND(
    WORKDAY(E505-1,1)=E505,
    _xlfn.CONCAT(F505:G505)=""
  ),
  _xlfn.MAXIFS(I$2:I504,C$2:C504,C505,B$2:B504,B505)+1,
  ""
)</f>
        <v>11</v>
      </c>
    </row>
    <row r="506" spans="2:9" x14ac:dyDescent="0.25">
      <c r="B506" s="2">
        <f t="shared" si="23"/>
        <v>2026</v>
      </c>
      <c r="C506" s="2" t="str">
        <f t="shared" si="22"/>
        <v>November</v>
      </c>
      <c r="D506" s="2" t="str">
        <f t="shared" si="24"/>
        <v>Tuesday</v>
      </c>
      <c r="E506" s="4">
        <v>46343</v>
      </c>
      <c r="H506" s="3" t="str">
        <f>IF(OR(Table1[[#This Row],[US Holiday]]&lt;&gt;"", Table1[[#This Row],[India Holiday]]&lt;&gt;""), "Yes", "No")</f>
        <v>No</v>
      </c>
      <c r="I506" s="2">
        <f>IF(
  AND(
    WORKDAY(E506-1,1)=E506,
    _xlfn.CONCAT(F506:G506)=""
  ),
  _xlfn.MAXIFS(I$2:I505,C$2:C505,C506,B$2:B505,B506)+1,
  ""
)</f>
        <v>12</v>
      </c>
    </row>
    <row r="507" spans="2:9" x14ac:dyDescent="0.25">
      <c r="B507" s="2">
        <f t="shared" si="23"/>
        <v>2026</v>
      </c>
      <c r="C507" s="2" t="str">
        <f t="shared" si="22"/>
        <v>November</v>
      </c>
      <c r="D507" s="2" t="str">
        <f t="shared" si="24"/>
        <v>Wednesday</v>
      </c>
      <c r="E507" s="4">
        <v>46344</v>
      </c>
      <c r="H507" s="3" t="str">
        <f>IF(OR(Table1[[#This Row],[US Holiday]]&lt;&gt;"", Table1[[#This Row],[India Holiday]]&lt;&gt;""), "Yes", "No")</f>
        <v>No</v>
      </c>
      <c r="I507" s="2">
        <f>IF(
  AND(
    WORKDAY(E507-1,1)=E507,
    _xlfn.CONCAT(F507:G507)=""
  ),
  _xlfn.MAXIFS(I$2:I506,C$2:C506,C507,B$2:B506,B507)+1,
  ""
)</f>
        <v>13</v>
      </c>
    </row>
    <row r="508" spans="2:9" x14ac:dyDescent="0.25">
      <c r="B508" s="2">
        <f t="shared" si="23"/>
        <v>2026</v>
      </c>
      <c r="C508" s="2" t="str">
        <f t="shared" si="22"/>
        <v>November</v>
      </c>
      <c r="D508" s="2" t="str">
        <f t="shared" si="24"/>
        <v>Thursday</v>
      </c>
      <c r="E508" s="4">
        <v>46345</v>
      </c>
      <c r="H508" s="3" t="str">
        <f>IF(OR(Table1[[#This Row],[US Holiday]]&lt;&gt;"", Table1[[#This Row],[India Holiday]]&lt;&gt;""), "Yes", "No")</f>
        <v>No</v>
      </c>
      <c r="I508" s="2">
        <f>IF(
  AND(
    WORKDAY(E508-1,1)=E508,
    _xlfn.CONCAT(F508:G508)=""
  ),
  _xlfn.MAXIFS(I$2:I507,C$2:C507,C508,B$2:B507,B508)+1,
  ""
)</f>
        <v>14</v>
      </c>
    </row>
    <row r="509" spans="2:9" x14ac:dyDescent="0.25">
      <c r="B509" s="2">
        <f t="shared" si="23"/>
        <v>2026</v>
      </c>
      <c r="C509" s="2" t="str">
        <f t="shared" si="22"/>
        <v>November</v>
      </c>
      <c r="D509" s="2" t="str">
        <f t="shared" si="24"/>
        <v>Friday</v>
      </c>
      <c r="E509" s="4">
        <v>46346</v>
      </c>
      <c r="H509" s="3" t="str">
        <f>IF(OR(Table1[[#This Row],[US Holiday]]&lt;&gt;"", Table1[[#This Row],[India Holiday]]&lt;&gt;""), "Yes", "No")</f>
        <v>No</v>
      </c>
      <c r="I509" s="2">
        <f>IF(
  AND(
    WORKDAY(E509-1,1)=E509,
    _xlfn.CONCAT(F509:G509)=""
  ),
  _xlfn.MAXIFS(I$2:I508,C$2:C508,C509,B$2:B508,B509)+1,
  ""
)</f>
        <v>15</v>
      </c>
    </row>
    <row r="510" spans="2:9" x14ac:dyDescent="0.25">
      <c r="B510" s="2">
        <f t="shared" si="23"/>
        <v>2026</v>
      </c>
      <c r="C510" s="2" t="str">
        <f t="shared" si="22"/>
        <v>November</v>
      </c>
      <c r="D510" s="2" t="str">
        <f t="shared" si="24"/>
        <v>Saturday</v>
      </c>
      <c r="E510" s="4">
        <v>46347</v>
      </c>
      <c r="H510" s="3" t="str">
        <f>IF(OR(Table1[[#This Row],[US Holiday]]&lt;&gt;"", Table1[[#This Row],[India Holiday]]&lt;&gt;""), "Yes", "No")</f>
        <v>No</v>
      </c>
      <c r="I510" s="2" t="str">
        <f>IF(
  AND(
    WORKDAY(E510-1,1)=E510,
    _xlfn.CONCAT(F510:G510)=""
  ),
  _xlfn.MAXIFS(I$2:I509,C$2:C509,C510,B$2:B509,B510)+1,
  ""
)</f>
        <v/>
      </c>
    </row>
    <row r="511" spans="2:9" x14ac:dyDescent="0.25">
      <c r="B511" s="2">
        <f t="shared" si="23"/>
        <v>2026</v>
      </c>
      <c r="C511" s="2" t="str">
        <f t="shared" si="22"/>
        <v>November</v>
      </c>
      <c r="D511" s="2" t="str">
        <f t="shared" si="24"/>
        <v>Sunday</v>
      </c>
      <c r="E511" s="4">
        <v>46348</v>
      </c>
      <c r="H511" s="3" t="str">
        <f>IF(OR(Table1[[#This Row],[US Holiday]]&lt;&gt;"", Table1[[#This Row],[India Holiday]]&lt;&gt;""), "Yes", "No")</f>
        <v>No</v>
      </c>
      <c r="I511" s="2" t="str">
        <f>IF(
  AND(
    WORKDAY(E511-1,1)=E511,
    _xlfn.CONCAT(F511:G511)=""
  ),
  _xlfn.MAXIFS(I$2:I510,C$2:C510,C511,B$2:B510,B511)+1,
  ""
)</f>
        <v/>
      </c>
    </row>
    <row r="512" spans="2:9" x14ac:dyDescent="0.25">
      <c r="B512" s="2">
        <f t="shared" si="23"/>
        <v>2026</v>
      </c>
      <c r="C512" s="2" t="str">
        <f t="shared" si="22"/>
        <v>November</v>
      </c>
      <c r="D512" s="2" t="str">
        <f t="shared" si="24"/>
        <v>Monday</v>
      </c>
      <c r="E512" s="4">
        <v>46349</v>
      </c>
      <c r="H512" s="3" t="str">
        <f>IF(OR(Table1[[#This Row],[US Holiday]]&lt;&gt;"", Table1[[#This Row],[India Holiday]]&lt;&gt;""), "Yes", "No")</f>
        <v>No</v>
      </c>
      <c r="I512" s="2">
        <f>IF(
  AND(
    WORKDAY(E512-1,1)=E512,
    _xlfn.CONCAT(F512:G512)=""
  ),
  _xlfn.MAXIFS(I$2:I511,C$2:C511,C512,B$2:B511,B512)+1,
  ""
)</f>
        <v>16</v>
      </c>
    </row>
    <row r="513" spans="2:9" x14ac:dyDescent="0.25">
      <c r="B513" s="2">
        <f t="shared" si="23"/>
        <v>2026</v>
      </c>
      <c r="C513" s="2" t="str">
        <f t="shared" ref="C513:C576" si="25">TEXT(E513,"mmmm")</f>
        <v>November</v>
      </c>
      <c r="D513" s="2" t="str">
        <f t="shared" si="24"/>
        <v>Tuesday</v>
      </c>
      <c r="E513" s="4">
        <v>46350</v>
      </c>
      <c r="H513" s="3" t="str">
        <f>IF(OR(Table1[[#This Row],[US Holiday]]&lt;&gt;"", Table1[[#This Row],[India Holiday]]&lt;&gt;""), "Yes", "No")</f>
        <v>No</v>
      </c>
      <c r="I513" s="2">
        <f>IF(
  AND(
    WORKDAY(E513-1,1)=E513,
    _xlfn.CONCAT(F513:G513)=""
  ),
  _xlfn.MAXIFS(I$2:I512,C$2:C512,C513,B$2:B512,B513)+1,
  ""
)</f>
        <v>17</v>
      </c>
    </row>
    <row r="514" spans="2:9" x14ac:dyDescent="0.25">
      <c r="B514" s="2">
        <f t="shared" si="23"/>
        <v>2026</v>
      </c>
      <c r="C514" s="2" t="str">
        <f t="shared" si="25"/>
        <v>November</v>
      </c>
      <c r="D514" s="2" t="str">
        <f t="shared" si="24"/>
        <v>Wednesday</v>
      </c>
      <c r="E514" s="4">
        <v>46351</v>
      </c>
      <c r="H514" s="3" t="str">
        <f>IF(OR(Table1[[#This Row],[US Holiday]]&lt;&gt;"", Table1[[#This Row],[India Holiday]]&lt;&gt;""), "Yes", "No")</f>
        <v>No</v>
      </c>
      <c r="I514" s="2">
        <f>IF(
  AND(
    WORKDAY(E514-1,1)=E514,
    _xlfn.CONCAT(F514:G514)=""
  ),
  _xlfn.MAXIFS(I$2:I513,C$2:C513,C514,B$2:B513,B514)+1,
  ""
)</f>
        <v>18</v>
      </c>
    </row>
    <row r="515" spans="2:9" x14ac:dyDescent="0.25">
      <c r="B515" s="2">
        <f t="shared" ref="B515:B578" si="26">YEAR(E515)</f>
        <v>2026</v>
      </c>
      <c r="C515" s="2" t="str">
        <f t="shared" si="25"/>
        <v>November</v>
      </c>
      <c r="D515" s="2" t="str">
        <f t="shared" ref="D515:D578" si="27">TEXT(E515,"dddd")</f>
        <v>Thursday</v>
      </c>
      <c r="E515" s="4">
        <v>46352</v>
      </c>
      <c r="H515" s="3" t="str">
        <f>IF(OR(Table1[[#This Row],[US Holiday]]&lt;&gt;"", Table1[[#This Row],[India Holiday]]&lt;&gt;""), "Yes", "No")</f>
        <v>No</v>
      </c>
      <c r="I515" s="2">
        <f>IF(
  AND(
    WORKDAY(E515-1,1)=E515,
    _xlfn.CONCAT(F515:G515)=""
  ),
  _xlfn.MAXIFS(I$2:I514,C$2:C514,C515,B$2:B514,B515)+1,
  ""
)</f>
        <v>19</v>
      </c>
    </row>
    <row r="516" spans="2:9" x14ac:dyDescent="0.25">
      <c r="B516" s="2">
        <f t="shared" si="26"/>
        <v>2026</v>
      </c>
      <c r="C516" s="2" t="str">
        <f t="shared" si="25"/>
        <v>November</v>
      </c>
      <c r="D516" s="2" t="str">
        <f t="shared" si="27"/>
        <v>Friday</v>
      </c>
      <c r="E516" s="4">
        <v>46353</v>
      </c>
      <c r="H516" s="3" t="str">
        <f>IF(OR(Table1[[#This Row],[US Holiday]]&lt;&gt;"", Table1[[#This Row],[India Holiday]]&lt;&gt;""), "Yes", "No")</f>
        <v>No</v>
      </c>
      <c r="I516" s="2">
        <f>IF(
  AND(
    WORKDAY(E516-1,1)=E516,
    _xlfn.CONCAT(F516:G516)=""
  ),
  _xlfn.MAXIFS(I$2:I515,C$2:C515,C516,B$2:B515,B516)+1,
  ""
)</f>
        <v>20</v>
      </c>
    </row>
    <row r="517" spans="2:9" x14ac:dyDescent="0.25">
      <c r="B517" s="2">
        <f t="shared" si="26"/>
        <v>2026</v>
      </c>
      <c r="C517" s="2" t="str">
        <f t="shared" si="25"/>
        <v>November</v>
      </c>
      <c r="D517" s="2" t="str">
        <f t="shared" si="27"/>
        <v>Saturday</v>
      </c>
      <c r="E517" s="4">
        <v>46354</v>
      </c>
      <c r="H517" s="3" t="str">
        <f>IF(OR(Table1[[#This Row],[US Holiday]]&lt;&gt;"", Table1[[#This Row],[India Holiday]]&lt;&gt;""), "Yes", "No")</f>
        <v>No</v>
      </c>
      <c r="I517" s="2" t="str">
        <f>IF(
  AND(
    WORKDAY(E517-1,1)=E517,
    _xlfn.CONCAT(F517:G517)=""
  ),
  _xlfn.MAXIFS(I$2:I516,C$2:C516,C517,B$2:B516,B517)+1,
  ""
)</f>
        <v/>
      </c>
    </row>
    <row r="518" spans="2:9" x14ac:dyDescent="0.25">
      <c r="B518" s="2">
        <f t="shared" si="26"/>
        <v>2026</v>
      </c>
      <c r="C518" s="2" t="str">
        <f t="shared" si="25"/>
        <v>November</v>
      </c>
      <c r="D518" s="2" t="str">
        <f t="shared" si="27"/>
        <v>Sunday</v>
      </c>
      <c r="E518" s="4">
        <v>46355</v>
      </c>
      <c r="H518" s="3" t="str">
        <f>IF(OR(Table1[[#This Row],[US Holiday]]&lt;&gt;"", Table1[[#This Row],[India Holiday]]&lt;&gt;""), "Yes", "No")</f>
        <v>No</v>
      </c>
      <c r="I518" s="2" t="str">
        <f>IF(
  AND(
    WORKDAY(E518-1,1)=E518,
    _xlfn.CONCAT(F518:G518)=""
  ),
  _xlfn.MAXIFS(I$2:I517,C$2:C517,C518,B$2:B517,B518)+1,
  ""
)</f>
        <v/>
      </c>
    </row>
    <row r="519" spans="2:9" x14ac:dyDescent="0.25">
      <c r="B519" s="2">
        <f t="shared" si="26"/>
        <v>2026</v>
      </c>
      <c r="C519" s="2" t="str">
        <f t="shared" si="25"/>
        <v>November</v>
      </c>
      <c r="D519" s="2" t="str">
        <f t="shared" si="27"/>
        <v>Monday</v>
      </c>
      <c r="E519" s="4">
        <v>46356</v>
      </c>
      <c r="H519" s="3" t="str">
        <f>IF(OR(Table1[[#This Row],[US Holiday]]&lt;&gt;"", Table1[[#This Row],[India Holiday]]&lt;&gt;""), "Yes", "No")</f>
        <v>No</v>
      </c>
      <c r="I519" s="2">
        <f>IF(
  AND(
    WORKDAY(E519-1,1)=E519,
    _xlfn.CONCAT(F519:G519)=""
  ),
  _xlfn.MAXIFS(I$2:I518,C$2:C518,C519,B$2:B518,B519)+1,
  ""
)</f>
        <v>21</v>
      </c>
    </row>
    <row r="520" spans="2:9" x14ac:dyDescent="0.25">
      <c r="B520" s="2">
        <f t="shared" si="26"/>
        <v>2026</v>
      </c>
      <c r="C520" s="2" t="str">
        <f t="shared" si="25"/>
        <v>December</v>
      </c>
      <c r="D520" s="2" t="str">
        <f t="shared" si="27"/>
        <v>Tuesday</v>
      </c>
      <c r="E520" s="4">
        <v>46357</v>
      </c>
      <c r="F520" s="63"/>
      <c r="G520" s="63"/>
      <c r="H520" s="63" t="str">
        <f>IF(OR(Table1[[#This Row],[US Holiday]]&lt;&gt;"", Table1[[#This Row],[India Holiday]]&lt;&gt;""), "Yes", "No")</f>
        <v>No</v>
      </c>
      <c r="I520" s="2">
        <f>IF(
  AND(
    WORKDAY(E520-1,1)=E520,
    _xlfn.CONCAT(F520:G520)=""
  ),
  _xlfn.MAXIFS(I$2:I519,C$2:C519,C520,B$2:B519,B520)+1,
  ""
)</f>
        <v>1</v>
      </c>
    </row>
    <row r="521" spans="2:9" x14ac:dyDescent="0.25">
      <c r="B521" s="2">
        <f t="shared" si="26"/>
        <v>2026</v>
      </c>
      <c r="C521" s="2" t="str">
        <f t="shared" si="25"/>
        <v>December</v>
      </c>
      <c r="D521" s="2" t="str">
        <f t="shared" si="27"/>
        <v>Wednesday</v>
      </c>
      <c r="E521" s="4">
        <v>46358</v>
      </c>
      <c r="F521" s="63"/>
      <c r="G521" s="63"/>
      <c r="H521" s="63" t="str">
        <f>IF(OR(Table1[[#This Row],[US Holiday]]&lt;&gt;"", Table1[[#This Row],[India Holiday]]&lt;&gt;""), "Yes", "No")</f>
        <v>No</v>
      </c>
      <c r="I521" s="2">
        <f>IF(
  AND(
    WORKDAY(E521-1,1)=E521,
    _xlfn.CONCAT(F521:G521)=""
  ),
  _xlfn.MAXIFS(I$2:I520,C$2:C520,C521,B$2:B520,B521)+1,
  ""
)</f>
        <v>2</v>
      </c>
    </row>
    <row r="522" spans="2:9" x14ac:dyDescent="0.25">
      <c r="B522" s="2">
        <f t="shared" si="26"/>
        <v>2026</v>
      </c>
      <c r="C522" s="2" t="str">
        <f t="shared" si="25"/>
        <v>December</v>
      </c>
      <c r="D522" s="2" t="str">
        <f t="shared" si="27"/>
        <v>Thursday</v>
      </c>
      <c r="E522" s="4">
        <v>46359</v>
      </c>
      <c r="F522" s="63"/>
      <c r="G522" s="63"/>
      <c r="H522" s="63" t="str">
        <f>IF(OR(Table1[[#This Row],[US Holiday]]&lt;&gt;"", Table1[[#This Row],[India Holiday]]&lt;&gt;""), "Yes", "No")</f>
        <v>No</v>
      </c>
      <c r="I522" s="2">
        <f>IF(
  AND(
    WORKDAY(E522-1,1)=E522,
    _xlfn.CONCAT(F522:G522)=""
  ),
  _xlfn.MAXIFS(I$2:I521,C$2:C521,C522,B$2:B521,B522)+1,
  ""
)</f>
        <v>3</v>
      </c>
    </row>
    <row r="523" spans="2:9" x14ac:dyDescent="0.25">
      <c r="B523" s="2">
        <f t="shared" si="26"/>
        <v>2026</v>
      </c>
      <c r="C523" s="2" t="str">
        <f t="shared" si="25"/>
        <v>December</v>
      </c>
      <c r="D523" s="2" t="str">
        <f t="shared" si="27"/>
        <v>Friday</v>
      </c>
      <c r="E523" s="4">
        <v>46360</v>
      </c>
      <c r="F523" s="63"/>
      <c r="G523" s="63"/>
      <c r="H523" s="63" t="str">
        <f>IF(OR(Table1[[#This Row],[US Holiday]]&lt;&gt;"", Table1[[#This Row],[India Holiday]]&lt;&gt;""), "Yes", "No")</f>
        <v>No</v>
      </c>
      <c r="I523" s="2">
        <f>IF(
  AND(
    WORKDAY(E523-1,1)=E523,
    _xlfn.CONCAT(F523:G523)=""
  ),
  _xlfn.MAXIFS(I$2:I522,C$2:C522,C523,B$2:B522,B523)+1,
  ""
)</f>
        <v>4</v>
      </c>
    </row>
    <row r="524" spans="2:9" x14ac:dyDescent="0.25">
      <c r="B524" s="2">
        <f t="shared" si="26"/>
        <v>2026</v>
      </c>
      <c r="C524" s="2" t="str">
        <f t="shared" si="25"/>
        <v>December</v>
      </c>
      <c r="D524" s="2" t="str">
        <f t="shared" si="27"/>
        <v>Saturday</v>
      </c>
      <c r="E524" s="4">
        <v>46361</v>
      </c>
      <c r="F524" s="63"/>
      <c r="G524" s="63"/>
      <c r="H524" s="63" t="str">
        <f>IF(OR(Table1[[#This Row],[US Holiday]]&lt;&gt;"", Table1[[#This Row],[India Holiday]]&lt;&gt;""), "Yes", "No")</f>
        <v>No</v>
      </c>
      <c r="I524" s="2" t="str">
        <f>IF(
  AND(
    WORKDAY(E524-1,1)=E524,
    _xlfn.CONCAT(F524:G524)=""
  ),
  _xlfn.MAXIFS(I$2:I523,C$2:C523,C524,B$2:B523,B524)+1,
  ""
)</f>
        <v/>
      </c>
    </row>
    <row r="525" spans="2:9" x14ac:dyDescent="0.25">
      <c r="B525" s="2">
        <f t="shared" si="26"/>
        <v>2026</v>
      </c>
      <c r="C525" s="2" t="str">
        <f t="shared" si="25"/>
        <v>December</v>
      </c>
      <c r="D525" s="2" t="str">
        <f t="shared" si="27"/>
        <v>Sunday</v>
      </c>
      <c r="E525" s="4">
        <v>46362</v>
      </c>
      <c r="F525" s="63"/>
      <c r="G525" s="63"/>
      <c r="H525" s="63" t="str">
        <f>IF(OR(Table1[[#This Row],[US Holiday]]&lt;&gt;"", Table1[[#This Row],[India Holiday]]&lt;&gt;""), "Yes", "No")</f>
        <v>No</v>
      </c>
      <c r="I525" s="2" t="str">
        <f>IF(
  AND(
    WORKDAY(E525-1,1)=E525,
    _xlfn.CONCAT(F525:G525)=""
  ),
  _xlfn.MAXIFS(I$2:I524,C$2:C524,C525,B$2:B524,B525)+1,
  ""
)</f>
        <v/>
      </c>
    </row>
    <row r="526" spans="2:9" x14ac:dyDescent="0.25">
      <c r="B526" s="2">
        <f t="shared" si="26"/>
        <v>2026</v>
      </c>
      <c r="C526" s="2" t="str">
        <f t="shared" si="25"/>
        <v>December</v>
      </c>
      <c r="D526" s="2" t="str">
        <f t="shared" si="27"/>
        <v>Monday</v>
      </c>
      <c r="E526" s="4">
        <v>46363</v>
      </c>
      <c r="F526" s="63"/>
      <c r="G526" s="63"/>
      <c r="H526" s="63" t="str">
        <f>IF(OR(Table1[[#This Row],[US Holiday]]&lt;&gt;"", Table1[[#This Row],[India Holiday]]&lt;&gt;""), "Yes", "No")</f>
        <v>No</v>
      </c>
      <c r="I526" s="2">
        <f>IF(
  AND(
    WORKDAY(E526-1,1)=E526,
    _xlfn.CONCAT(F526:G526)=""
  ),
  _xlfn.MAXIFS(I$2:I525,C$2:C525,C526,B$2:B525,B526)+1,
  ""
)</f>
        <v>5</v>
      </c>
    </row>
    <row r="527" spans="2:9" x14ac:dyDescent="0.25">
      <c r="B527" s="2">
        <f t="shared" si="26"/>
        <v>2026</v>
      </c>
      <c r="C527" s="2" t="str">
        <f t="shared" si="25"/>
        <v>December</v>
      </c>
      <c r="D527" s="2" t="str">
        <f t="shared" si="27"/>
        <v>Tuesday</v>
      </c>
      <c r="E527" s="4">
        <v>46364</v>
      </c>
      <c r="F527" s="63"/>
      <c r="G527" s="63"/>
      <c r="H527" s="63" t="str">
        <f>IF(OR(Table1[[#This Row],[US Holiday]]&lt;&gt;"", Table1[[#This Row],[India Holiday]]&lt;&gt;""), "Yes", "No")</f>
        <v>No</v>
      </c>
      <c r="I527" s="2">
        <f>IF(
  AND(
    WORKDAY(E527-1,1)=E527,
    _xlfn.CONCAT(F527:G527)=""
  ),
  _xlfn.MAXIFS(I$2:I526,C$2:C526,C527,B$2:B526,B527)+1,
  ""
)</f>
        <v>6</v>
      </c>
    </row>
    <row r="528" spans="2:9" x14ac:dyDescent="0.25">
      <c r="B528" s="2">
        <f t="shared" si="26"/>
        <v>2026</v>
      </c>
      <c r="C528" s="2" t="str">
        <f t="shared" si="25"/>
        <v>December</v>
      </c>
      <c r="D528" s="2" t="str">
        <f t="shared" si="27"/>
        <v>Wednesday</v>
      </c>
      <c r="E528" s="4">
        <v>46365</v>
      </c>
      <c r="F528" s="63"/>
      <c r="G528" s="63"/>
      <c r="H528" s="63" t="str">
        <f>IF(OR(Table1[[#This Row],[US Holiday]]&lt;&gt;"", Table1[[#This Row],[India Holiday]]&lt;&gt;""), "Yes", "No")</f>
        <v>No</v>
      </c>
      <c r="I528" s="2">
        <f>IF(
  AND(
    WORKDAY(E528-1,1)=E528,
    _xlfn.CONCAT(F528:G528)=""
  ),
  _xlfn.MAXIFS(I$2:I527,C$2:C527,C528,B$2:B527,B528)+1,
  ""
)</f>
        <v>7</v>
      </c>
    </row>
    <row r="529" spans="2:9" x14ac:dyDescent="0.25">
      <c r="B529" s="2">
        <f t="shared" si="26"/>
        <v>2026</v>
      </c>
      <c r="C529" s="2" t="str">
        <f t="shared" si="25"/>
        <v>December</v>
      </c>
      <c r="D529" s="2" t="str">
        <f t="shared" si="27"/>
        <v>Thursday</v>
      </c>
      <c r="E529" s="4">
        <v>46366</v>
      </c>
      <c r="F529" s="63"/>
      <c r="G529" s="63"/>
      <c r="H529" s="63" t="str">
        <f>IF(OR(Table1[[#This Row],[US Holiday]]&lt;&gt;"", Table1[[#This Row],[India Holiday]]&lt;&gt;""), "Yes", "No")</f>
        <v>No</v>
      </c>
      <c r="I529" s="2">
        <f>IF(
  AND(
    WORKDAY(E529-1,1)=E529,
    _xlfn.CONCAT(F529:G529)=""
  ),
  _xlfn.MAXIFS(I$2:I528,C$2:C528,C529,B$2:B528,B529)+1,
  ""
)</f>
        <v>8</v>
      </c>
    </row>
    <row r="530" spans="2:9" x14ac:dyDescent="0.25">
      <c r="B530" s="2">
        <f t="shared" si="26"/>
        <v>2026</v>
      </c>
      <c r="C530" s="2" t="str">
        <f t="shared" si="25"/>
        <v>December</v>
      </c>
      <c r="D530" s="2" t="str">
        <f t="shared" si="27"/>
        <v>Friday</v>
      </c>
      <c r="E530" s="4">
        <v>46367</v>
      </c>
      <c r="F530" s="63"/>
      <c r="G530" s="63"/>
      <c r="H530" s="63" t="str">
        <f>IF(OR(Table1[[#This Row],[US Holiday]]&lt;&gt;"", Table1[[#This Row],[India Holiday]]&lt;&gt;""), "Yes", "No")</f>
        <v>No</v>
      </c>
      <c r="I530" s="2">
        <f>IF(
  AND(
    WORKDAY(E530-1,1)=E530,
    _xlfn.CONCAT(F530:G530)=""
  ),
  _xlfn.MAXIFS(I$2:I529,C$2:C529,C530,B$2:B529,B530)+1,
  ""
)</f>
        <v>9</v>
      </c>
    </row>
    <row r="531" spans="2:9" x14ac:dyDescent="0.25">
      <c r="B531" s="2">
        <f t="shared" si="26"/>
        <v>2026</v>
      </c>
      <c r="C531" s="2" t="str">
        <f t="shared" si="25"/>
        <v>December</v>
      </c>
      <c r="D531" s="2" t="str">
        <f t="shared" si="27"/>
        <v>Saturday</v>
      </c>
      <c r="E531" s="4">
        <v>46368</v>
      </c>
      <c r="F531" s="63"/>
      <c r="G531" s="63"/>
      <c r="H531" s="63" t="str">
        <f>IF(OR(Table1[[#This Row],[US Holiday]]&lt;&gt;"", Table1[[#This Row],[India Holiday]]&lt;&gt;""), "Yes", "No")</f>
        <v>No</v>
      </c>
      <c r="I531" s="2" t="str">
        <f>IF(
  AND(
    WORKDAY(E531-1,1)=E531,
    _xlfn.CONCAT(F531:G531)=""
  ),
  _xlfn.MAXIFS(I$2:I530,C$2:C530,C531,B$2:B530,B531)+1,
  ""
)</f>
        <v/>
      </c>
    </row>
    <row r="532" spans="2:9" x14ac:dyDescent="0.25">
      <c r="B532" s="2">
        <f t="shared" si="26"/>
        <v>2026</v>
      </c>
      <c r="C532" s="2" t="str">
        <f t="shared" si="25"/>
        <v>December</v>
      </c>
      <c r="D532" s="2" t="str">
        <f t="shared" si="27"/>
        <v>Sunday</v>
      </c>
      <c r="E532" s="4">
        <v>46369</v>
      </c>
      <c r="F532" s="63"/>
      <c r="G532" s="63"/>
      <c r="H532" s="63" t="str">
        <f>IF(OR(Table1[[#This Row],[US Holiday]]&lt;&gt;"", Table1[[#This Row],[India Holiday]]&lt;&gt;""), "Yes", "No")</f>
        <v>No</v>
      </c>
      <c r="I532" s="2" t="str">
        <f>IF(
  AND(
    WORKDAY(E532-1,1)=E532,
    _xlfn.CONCAT(F532:G532)=""
  ),
  _xlfn.MAXIFS(I$2:I531,C$2:C531,C532,B$2:B531,B532)+1,
  ""
)</f>
        <v/>
      </c>
    </row>
    <row r="533" spans="2:9" x14ac:dyDescent="0.25">
      <c r="B533" s="2">
        <f t="shared" si="26"/>
        <v>2026</v>
      </c>
      <c r="C533" s="2" t="str">
        <f t="shared" si="25"/>
        <v>December</v>
      </c>
      <c r="D533" s="2" t="str">
        <f t="shared" si="27"/>
        <v>Monday</v>
      </c>
      <c r="E533" s="4">
        <v>46370</v>
      </c>
      <c r="F533" s="63"/>
      <c r="G533" s="63"/>
      <c r="H533" s="63" t="str">
        <f>IF(OR(Table1[[#This Row],[US Holiday]]&lt;&gt;"", Table1[[#This Row],[India Holiday]]&lt;&gt;""), "Yes", "No")</f>
        <v>No</v>
      </c>
      <c r="I533" s="2">
        <f>IF(
  AND(
    WORKDAY(E533-1,1)=E533,
    _xlfn.CONCAT(F533:G533)=""
  ),
  _xlfn.MAXIFS(I$2:I532,C$2:C532,C533,B$2:B532,B533)+1,
  ""
)</f>
        <v>10</v>
      </c>
    </row>
    <row r="534" spans="2:9" x14ac:dyDescent="0.25">
      <c r="B534" s="2">
        <f t="shared" si="26"/>
        <v>2026</v>
      </c>
      <c r="C534" s="2" t="str">
        <f t="shared" si="25"/>
        <v>December</v>
      </c>
      <c r="D534" s="2" t="str">
        <f t="shared" si="27"/>
        <v>Tuesday</v>
      </c>
      <c r="E534" s="4">
        <v>46371</v>
      </c>
      <c r="F534" s="63"/>
      <c r="G534" s="63"/>
      <c r="H534" s="63" t="str">
        <f>IF(OR(Table1[[#This Row],[US Holiday]]&lt;&gt;"", Table1[[#This Row],[India Holiday]]&lt;&gt;""), "Yes", "No")</f>
        <v>No</v>
      </c>
      <c r="I534" s="2">
        <f>IF(
  AND(
    WORKDAY(E534-1,1)=E534,
    _xlfn.CONCAT(F534:G534)=""
  ),
  _xlfn.MAXIFS(I$2:I533,C$2:C533,C534,B$2:B533,B534)+1,
  ""
)</f>
        <v>11</v>
      </c>
    </row>
    <row r="535" spans="2:9" x14ac:dyDescent="0.25">
      <c r="B535" s="2">
        <f t="shared" si="26"/>
        <v>2026</v>
      </c>
      <c r="C535" s="2" t="str">
        <f t="shared" si="25"/>
        <v>December</v>
      </c>
      <c r="D535" s="2" t="str">
        <f t="shared" si="27"/>
        <v>Wednesday</v>
      </c>
      <c r="E535" s="4">
        <v>46372</v>
      </c>
      <c r="F535" s="63"/>
      <c r="G535" s="63"/>
      <c r="H535" s="63" t="str">
        <f>IF(OR(Table1[[#This Row],[US Holiday]]&lt;&gt;"", Table1[[#This Row],[India Holiday]]&lt;&gt;""), "Yes", "No")</f>
        <v>No</v>
      </c>
      <c r="I535" s="2">
        <f>IF(
  AND(
    WORKDAY(E535-1,1)=E535,
    _xlfn.CONCAT(F535:G535)=""
  ),
  _xlfn.MAXIFS(I$2:I534,C$2:C534,C535,B$2:B534,B535)+1,
  ""
)</f>
        <v>12</v>
      </c>
    </row>
    <row r="536" spans="2:9" x14ac:dyDescent="0.25">
      <c r="B536" s="2">
        <f t="shared" si="26"/>
        <v>2026</v>
      </c>
      <c r="C536" s="2" t="str">
        <f t="shared" si="25"/>
        <v>December</v>
      </c>
      <c r="D536" s="2" t="str">
        <f t="shared" si="27"/>
        <v>Thursday</v>
      </c>
      <c r="E536" s="4">
        <v>46373</v>
      </c>
      <c r="F536" s="63"/>
      <c r="G536" s="63"/>
      <c r="H536" s="63" t="str">
        <f>IF(OR(Table1[[#This Row],[US Holiday]]&lt;&gt;"", Table1[[#This Row],[India Holiday]]&lt;&gt;""), "Yes", "No")</f>
        <v>No</v>
      </c>
      <c r="I536" s="2">
        <f>IF(
  AND(
    WORKDAY(E536-1,1)=E536,
    _xlfn.CONCAT(F536:G536)=""
  ),
  _xlfn.MAXIFS(I$2:I535,C$2:C535,C536,B$2:B535,B536)+1,
  ""
)</f>
        <v>13</v>
      </c>
    </row>
    <row r="537" spans="2:9" x14ac:dyDescent="0.25">
      <c r="B537" s="2">
        <f t="shared" si="26"/>
        <v>2026</v>
      </c>
      <c r="C537" s="2" t="str">
        <f t="shared" si="25"/>
        <v>December</v>
      </c>
      <c r="D537" s="2" t="str">
        <f t="shared" si="27"/>
        <v>Friday</v>
      </c>
      <c r="E537" s="4">
        <v>46374</v>
      </c>
      <c r="F537" s="63"/>
      <c r="G537" s="63"/>
      <c r="H537" s="63" t="str">
        <f>IF(OR(Table1[[#This Row],[US Holiday]]&lt;&gt;"", Table1[[#This Row],[India Holiday]]&lt;&gt;""), "Yes", "No")</f>
        <v>No</v>
      </c>
      <c r="I537" s="2">
        <f>IF(
  AND(
    WORKDAY(E537-1,1)=E537,
    _xlfn.CONCAT(F537:G537)=""
  ),
  _xlfn.MAXIFS(I$2:I536,C$2:C536,C537,B$2:B536,B537)+1,
  ""
)</f>
        <v>14</v>
      </c>
    </row>
    <row r="538" spans="2:9" x14ac:dyDescent="0.25">
      <c r="B538" s="2">
        <f t="shared" si="26"/>
        <v>2026</v>
      </c>
      <c r="C538" s="2" t="str">
        <f t="shared" si="25"/>
        <v>December</v>
      </c>
      <c r="D538" s="2" t="str">
        <f t="shared" si="27"/>
        <v>Saturday</v>
      </c>
      <c r="E538" s="4">
        <v>46375</v>
      </c>
      <c r="F538" s="63"/>
      <c r="G538" s="63"/>
      <c r="H538" s="63" t="str">
        <f>IF(OR(Table1[[#This Row],[US Holiday]]&lt;&gt;"", Table1[[#This Row],[India Holiday]]&lt;&gt;""), "Yes", "No")</f>
        <v>No</v>
      </c>
      <c r="I538" s="2" t="str">
        <f>IF(
  AND(
    WORKDAY(E538-1,1)=E538,
    _xlfn.CONCAT(F538:G538)=""
  ),
  _xlfn.MAXIFS(I$2:I537,C$2:C537,C538,B$2:B537,B538)+1,
  ""
)</f>
        <v/>
      </c>
    </row>
    <row r="539" spans="2:9" x14ac:dyDescent="0.25">
      <c r="B539" s="2">
        <f t="shared" si="26"/>
        <v>2026</v>
      </c>
      <c r="C539" s="2" t="str">
        <f t="shared" si="25"/>
        <v>December</v>
      </c>
      <c r="D539" s="2" t="str">
        <f t="shared" si="27"/>
        <v>Sunday</v>
      </c>
      <c r="E539" s="4">
        <v>46376</v>
      </c>
      <c r="F539" s="63"/>
      <c r="G539" s="63"/>
      <c r="H539" s="63" t="str">
        <f>IF(OR(Table1[[#This Row],[US Holiday]]&lt;&gt;"", Table1[[#This Row],[India Holiday]]&lt;&gt;""), "Yes", "No")</f>
        <v>No</v>
      </c>
      <c r="I539" s="2" t="str">
        <f>IF(
  AND(
    WORKDAY(E539-1,1)=E539,
    _xlfn.CONCAT(F539:G539)=""
  ),
  _xlfn.MAXIFS(I$2:I538,C$2:C538,C539,B$2:B538,B539)+1,
  ""
)</f>
        <v/>
      </c>
    </row>
    <row r="540" spans="2:9" x14ac:dyDescent="0.25">
      <c r="B540" s="2">
        <f t="shared" si="26"/>
        <v>2026</v>
      </c>
      <c r="C540" s="2" t="str">
        <f t="shared" si="25"/>
        <v>December</v>
      </c>
      <c r="D540" s="2" t="str">
        <f t="shared" si="27"/>
        <v>Monday</v>
      </c>
      <c r="E540" s="4">
        <v>46377</v>
      </c>
      <c r="F540" s="63"/>
      <c r="G540" s="63"/>
      <c r="H540" s="63" t="str">
        <f>IF(OR(Table1[[#This Row],[US Holiday]]&lt;&gt;"", Table1[[#This Row],[India Holiday]]&lt;&gt;""), "Yes", "No")</f>
        <v>No</v>
      </c>
      <c r="I540" s="2">
        <f>IF(
  AND(
    WORKDAY(E540-1,1)=E540,
    _xlfn.CONCAT(F540:G540)=""
  ),
  _xlfn.MAXIFS(I$2:I539,C$2:C539,C540,B$2:B539,B540)+1,
  ""
)</f>
        <v>15</v>
      </c>
    </row>
    <row r="541" spans="2:9" x14ac:dyDescent="0.25">
      <c r="B541" s="2">
        <f t="shared" si="26"/>
        <v>2026</v>
      </c>
      <c r="C541" s="2" t="str">
        <f t="shared" si="25"/>
        <v>December</v>
      </c>
      <c r="D541" s="2" t="str">
        <f t="shared" si="27"/>
        <v>Tuesday</v>
      </c>
      <c r="E541" s="4">
        <v>46378</v>
      </c>
      <c r="F541" s="63"/>
      <c r="G541" s="63"/>
      <c r="H541" s="63" t="str">
        <f>IF(OR(Table1[[#This Row],[US Holiday]]&lt;&gt;"", Table1[[#This Row],[India Holiday]]&lt;&gt;""), "Yes", "No")</f>
        <v>No</v>
      </c>
      <c r="I541" s="2">
        <f>IF(
  AND(
    WORKDAY(E541-1,1)=E541,
    _xlfn.CONCAT(F541:G541)=""
  ),
  _xlfn.MAXIFS(I$2:I540,C$2:C540,C541,B$2:B540,B541)+1,
  ""
)</f>
        <v>16</v>
      </c>
    </row>
    <row r="542" spans="2:9" x14ac:dyDescent="0.25">
      <c r="B542" s="2">
        <f t="shared" si="26"/>
        <v>2026</v>
      </c>
      <c r="C542" s="2" t="str">
        <f t="shared" si="25"/>
        <v>December</v>
      </c>
      <c r="D542" s="2" t="str">
        <f t="shared" si="27"/>
        <v>Wednesday</v>
      </c>
      <c r="E542" s="4">
        <v>46379</v>
      </c>
      <c r="F542" s="63"/>
      <c r="G542" s="63"/>
      <c r="H542" s="63" t="str">
        <f>IF(OR(Table1[[#This Row],[US Holiday]]&lt;&gt;"", Table1[[#This Row],[India Holiday]]&lt;&gt;""), "Yes", "No")</f>
        <v>No</v>
      </c>
      <c r="I542" s="2">
        <f>IF(
  AND(
    WORKDAY(E542-1,1)=E542,
    _xlfn.CONCAT(F542:G542)=""
  ),
  _xlfn.MAXIFS(I$2:I541,C$2:C541,C542,B$2:B541,B542)+1,
  ""
)</f>
        <v>17</v>
      </c>
    </row>
    <row r="543" spans="2:9" x14ac:dyDescent="0.25">
      <c r="B543" s="2">
        <f t="shared" si="26"/>
        <v>2026</v>
      </c>
      <c r="C543" s="2" t="str">
        <f t="shared" si="25"/>
        <v>December</v>
      </c>
      <c r="D543" s="2" t="str">
        <f t="shared" si="27"/>
        <v>Thursday</v>
      </c>
      <c r="E543" s="4">
        <v>46380</v>
      </c>
      <c r="F543" s="63"/>
      <c r="G543" s="63"/>
      <c r="H543" s="63" t="str">
        <f>IF(OR(Table1[[#This Row],[US Holiday]]&lt;&gt;"", Table1[[#This Row],[India Holiday]]&lt;&gt;""), "Yes", "No")</f>
        <v>No</v>
      </c>
      <c r="I543" s="2">
        <f>IF(
  AND(
    WORKDAY(E543-1,1)=E543,
    _xlfn.CONCAT(F543:G543)=""
  ),
  _xlfn.MAXIFS(I$2:I542,C$2:C542,C543,B$2:B542,B543)+1,
  ""
)</f>
        <v>18</v>
      </c>
    </row>
    <row r="544" spans="2:9" x14ac:dyDescent="0.25">
      <c r="B544" s="2">
        <f t="shared" si="26"/>
        <v>2026</v>
      </c>
      <c r="C544" s="2" t="str">
        <f t="shared" si="25"/>
        <v>December</v>
      </c>
      <c r="D544" s="2" t="str">
        <f t="shared" si="27"/>
        <v>Friday</v>
      </c>
      <c r="E544" s="4">
        <v>46381</v>
      </c>
      <c r="F544" s="65" t="s">
        <v>124</v>
      </c>
      <c r="G544" s="65"/>
      <c r="H544" s="65" t="str">
        <f>IF(OR(Table1[[#This Row],[US Holiday]]&lt;&gt;"", Table1[[#This Row],[India Holiday]]&lt;&gt;""), "Yes", "No")</f>
        <v>Yes</v>
      </c>
      <c r="I544" s="2" t="str">
        <f>IF(
  AND(
    WORKDAY(E544-1,1)=E544,
    _xlfn.CONCAT(F544:G544)=""
  ),
  _xlfn.MAXIFS(I$2:I543,C$2:C543,C544,B$2:B543,B544)+1,
  ""
)</f>
        <v/>
      </c>
    </row>
    <row r="545" spans="2:9" x14ac:dyDescent="0.25">
      <c r="B545" s="2">
        <f t="shared" si="26"/>
        <v>2026</v>
      </c>
      <c r="C545" s="2" t="str">
        <f t="shared" si="25"/>
        <v>December</v>
      </c>
      <c r="D545" s="2" t="str">
        <f t="shared" si="27"/>
        <v>Saturday</v>
      </c>
      <c r="E545" s="4">
        <v>46382</v>
      </c>
      <c r="F545" s="63"/>
      <c r="G545" s="63"/>
      <c r="H545" s="63" t="str">
        <f>IF(OR(Table1[[#This Row],[US Holiday]]&lt;&gt;"", Table1[[#This Row],[India Holiday]]&lt;&gt;""), "Yes", "No")</f>
        <v>No</v>
      </c>
      <c r="I545" s="2" t="str">
        <f>IF(
  AND(
    WORKDAY(E545-1,1)=E545,
    _xlfn.CONCAT(F545:G545)=""
  ),
  _xlfn.MAXIFS(I$2:I544,C$2:C544,C545,B$2:B544,B545)+1,
  ""
)</f>
        <v/>
      </c>
    </row>
    <row r="546" spans="2:9" x14ac:dyDescent="0.25">
      <c r="B546" s="2">
        <f t="shared" si="26"/>
        <v>2026</v>
      </c>
      <c r="C546" s="2" t="str">
        <f t="shared" si="25"/>
        <v>December</v>
      </c>
      <c r="D546" s="2" t="str">
        <f t="shared" si="27"/>
        <v>Sunday</v>
      </c>
      <c r="E546" s="4">
        <v>46383</v>
      </c>
      <c r="F546" s="63"/>
      <c r="G546" s="63"/>
      <c r="H546" s="63" t="str">
        <f>IF(OR(Table1[[#This Row],[US Holiday]]&lt;&gt;"", Table1[[#This Row],[India Holiday]]&lt;&gt;""), "Yes", "No")</f>
        <v>No</v>
      </c>
      <c r="I546" s="2" t="str">
        <f>IF(
  AND(
    WORKDAY(E546-1,1)=E546,
    _xlfn.CONCAT(F546:G546)=""
  ),
  _xlfn.MAXIFS(I$2:I545,C$2:C545,C546,B$2:B545,B546)+1,
  ""
)</f>
        <v/>
      </c>
    </row>
    <row r="547" spans="2:9" x14ac:dyDescent="0.25">
      <c r="B547" s="2">
        <f t="shared" si="26"/>
        <v>2026</v>
      </c>
      <c r="C547" s="2" t="str">
        <f t="shared" si="25"/>
        <v>December</v>
      </c>
      <c r="D547" s="2" t="str">
        <f t="shared" si="27"/>
        <v>Monday</v>
      </c>
      <c r="E547" s="4">
        <v>46384</v>
      </c>
      <c r="F547" s="63"/>
      <c r="G547" s="63"/>
      <c r="H547" s="63" t="str">
        <f>IF(OR(Table1[[#This Row],[US Holiday]]&lt;&gt;"", Table1[[#This Row],[India Holiday]]&lt;&gt;""), "Yes", "No")</f>
        <v>No</v>
      </c>
      <c r="I547" s="2">
        <f>IF(
  AND(
    WORKDAY(E547-1,1)=E547,
    _xlfn.CONCAT(F547:G547)=""
  ),
  _xlfn.MAXIFS(I$2:I546,C$2:C546,C547,B$2:B546,B547)+1,
  ""
)</f>
        <v>19</v>
      </c>
    </row>
    <row r="548" spans="2:9" x14ac:dyDescent="0.25">
      <c r="B548" s="2">
        <f t="shared" si="26"/>
        <v>2026</v>
      </c>
      <c r="C548" s="2" t="str">
        <f t="shared" si="25"/>
        <v>December</v>
      </c>
      <c r="D548" s="2" t="str">
        <f t="shared" si="27"/>
        <v>Tuesday</v>
      </c>
      <c r="E548" s="4">
        <v>46385</v>
      </c>
      <c r="F548" s="63"/>
      <c r="G548" s="63"/>
      <c r="H548" s="63" t="str">
        <f>IF(OR(Table1[[#This Row],[US Holiday]]&lt;&gt;"", Table1[[#This Row],[India Holiday]]&lt;&gt;""), "Yes", "No")</f>
        <v>No</v>
      </c>
      <c r="I548" s="2">
        <f>IF(
  AND(
    WORKDAY(E548-1,1)=E548,
    _xlfn.CONCAT(F548:G548)=""
  ),
  _xlfn.MAXIFS(I$2:I547,C$2:C547,C548,B$2:B547,B548)+1,
  ""
)</f>
        <v>20</v>
      </c>
    </row>
    <row r="549" spans="2:9" x14ac:dyDescent="0.25">
      <c r="B549" s="2">
        <f t="shared" si="26"/>
        <v>2026</v>
      </c>
      <c r="C549" s="2" t="str">
        <f t="shared" si="25"/>
        <v>December</v>
      </c>
      <c r="D549" s="2" t="str">
        <f t="shared" si="27"/>
        <v>Wednesday</v>
      </c>
      <c r="E549" s="4">
        <v>46386</v>
      </c>
      <c r="F549" s="63"/>
      <c r="G549" s="63"/>
      <c r="H549" s="63" t="str">
        <f>IF(OR(Table1[[#This Row],[US Holiday]]&lt;&gt;"", Table1[[#This Row],[India Holiday]]&lt;&gt;""), "Yes", "No")</f>
        <v>No</v>
      </c>
      <c r="I549" s="2">
        <f>IF(
  AND(
    WORKDAY(E549-1,1)=E549,
    _xlfn.CONCAT(F549:G549)=""
  ),
  _xlfn.MAXIFS(I$2:I548,C$2:C548,C549,B$2:B548,B549)+1,
  ""
)</f>
        <v>21</v>
      </c>
    </row>
    <row r="550" spans="2:9" x14ac:dyDescent="0.25">
      <c r="B550" s="2">
        <f t="shared" si="26"/>
        <v>2026</v>
      </c>
      <c r="C550" s="2" t="str">
        <f t="shared" si="25"/>
        <v>December</v>
      </c>
      <c r="D550" s="2" t="str">
        <f t="shared" si="27"/>
        <v>Thursday</v>
      </c>
      <c r="E550" s="4">
        <v>46387</v>
      </c>
      <c r="F550" s="63"/>
      <c r="G550" s="63"/>
      <c r="H550" s="63" t="str">
        <f>IF(OR(Table1[[#This Row],[US Holiday]]&lt;&gt;"", Table1[[#This Row],[India Holiday]]&lt;&gt;""), "Yes", "No")</f>
        <v>No</v>
      </c>
      <c r="I550" s="2">
        <f>IF(
  AND(
    WORKDAY(E550-1,1)=E550,
    _xlfn.CONCAT(F550:G550)=""
  ),
  _xlfn.MAXIFS(I$2:I549,C$2:C549,C550,B$2:B549,B550)+1,
  ""
)</f>
        <v>22</v>
      </c>
    </row>
    <row r="551" spans="2:9" x14ac:dyDescent="0.25">
      <c r="B551" s="2">
        <f t="shared" si="26"/>
        <v>2027</v>
      </c>
      <c r="C551" s="2" t="str">
        <f t="shared" si="25"/>
        <v>January</v>
      </c>
      <c r="D551" s="2" t="str">
        <f t="shared" si="27"/>
        <v>Friday</v>
      </c>
      <c r="E551" s="4">
        <v>46388</v>
      </c>
      <c r="H551" s="3" t="str">
        <f>IF(OR(Table1[[#This Row],[US Holiday]]&lt;&gt;"", Table1[[#This Row],[India Holiday]]&lt;&gt;""), "Yes", "No")</f>
        <v>No</v>
      </c>
      <c r="I551" s="2">
        <f>IF(
  AND(
    WORKDAY(E551-1,1)=E551,
    _xlfn.CONCAT(F551:G551)=""
  ),
  _xlfn.MAXIFS(I$2:I550,C$2:C550,C551,B$2:B550,B551)+1,
  ""
)</f>
        <v>1</v>
      </c>
    </row>
    <row r="552" spans="2:9" x14ac:dyDescent="0.25">
      <c r="B552" s="2">
        <f t="shared" si="26"/>
        <v>2027</v>
      </c>
      <c r="C552" s="2" t="str">
        <f t="shared" si="25"/>
        <v>January</v>
      </c>
      <c r="D552" s="2" t="str">
        <f t="shared" si="27"/>
        <v>Saturday</v>
      </c>
      <c r="E552" s="4">
        <v>46389</v>
      </c>
      <c r="H552" s="3" t="str">
        <f>IF(OR(Table1[[#This Row],[US Holiday]]&lt;&gt;"", Table1[[#This Row],[India Holiday]]&lt;&gt;""), "Yes", "No")</f>
        <v>No</v>
      </c>
      <c r="I552" s="2" t="str">
        <f>IF(
  AND(
    WORKDAY(E552-1,1)=E552,
    _xlfn.CONCAT(F552:G552)=""
  ),
  _xlfn.MAXIFS(I$2:I551,C$2:C551,C552,B$2:B551,B552)+1,
  ""
)</f>
        <v/>
      </c>
    </row>
    <row r="553" spans="2:9" x14ac:dyDescent="0.25">
      <c r="B553" s="2">
        <f t="shared" si="26"/>
        <v>2027</v>
      </c>
      <c r="C553" s="2" t="str">
        <f t="shared" si="25"/>
        <v>January</v>
      </c>
      <c r="D553" s="2" t="str">
        <f t="shared" si="27"/>
        <v>Sunday</v>
      </c>
      <c r="E553" s="4">
        <v>46390</v>
      </c>
      <c r="H553" s="3" t="str">
        <f>IF(OR(Table1[[#This Row],[US Holiday]]&lt;&gt;"", Table1[[#This Row],[India Holiday]]&lt;&gt;""), "Yes", "No")</f>
        <v>No</v>
      </c>
      <c r="I553" s="2" t="str">
        <f>IF(
  AND(
    WORKDAY(E553-1,1)=E553,
    _xlfn.CONCAT(F553:G553)=""
  ),
  _xlfn.MAXIFS(I$2:I552,C$2:C552,C553,B$2:B552,B553)+1,
  ""
)</f>
        <v/>
      </c>
    </row>
    <row r="554" spans="2:9" x14ac:dyDescent="0.25">
      <c r="B554" s="2">
        <f t="shared" si="26"/>
        <v>2027</v>
      </c>
      <c r="C554" s="2" t="str">
        <f t="shared" si="25"/>
        <v>January</v>
      </c>
      <c r="D554" s="2" t="str">
        <f t="shared" si="27"/>
        <v>Monday</v>
      </c>
      <c r="E554" s="4">
        <v>46391</v>
      </c>
      <c r="H554" s="3" t="str">
        <f>IF(OR(Table1[[#This Row],[US Holiday]]&lt;&gt;"", Table1[[#This Row],[India Holiday]]&lt;&gt;""), "Yes", "No")</f>
        <v>No</v>
      </c>
      <c r="I554" s="2">
        <f>IF(
  AND(
    WORKDAY(E554-1,1)=E554,
    _xlfn.CONCAT(F554:G554)=""
  ),
  _xlfn.MAXIFS(I$2:I553,C$2:C553,C554,B$2:B553,B554)+1,
  ""
)</f>
        <v>2</v>
      </c>
    </row>
    <row r="555" spans="2:9" x14ac:dyDescent="0.25">
      <c r="B555" s="2">
        <f t="shared" si="26"/>
        <v>2027</v>
      </c>
      <c r="C555" s="2" t="str">
        <f t="shared" si="25"/>
        <v>January</v>
      </c>
      <c r="D555" s="2" t="str">
        <f t="shared" si="27"/>
        <v>Tuesday</v>
      </c>
      <c r="E555" s="4">
        <v>46392</v>
      </c>
      <c r="H555" s="3" t="str">
        <f>IF(OR(Table1[[#This Row],[US Holiday]]&lt;&gt;"", Table1[[#This Row],[India Holiday]]&lt;&gt;""), "Yes", "No")</f>
        <v>No</v>
      </c>
      <c r="I555" s="2">
        <f>IF(
  AND(
    WORKDAY(E555-1,1)=E555,
    _xlfn.CONCAT(F555:G555)=""
  ),
  _xlfn.MAXIFS(I$2:I554,C$2:C554,C555,B$2:B554,B555)+1,
  ""
)</f>
        <v>3</v>
      </c>
    </row>
    <row r="556" spans="2:9" x14ac:dyDescent="0.25">
      <c r="B556" s="2">
        <f t="shared" si="26"/>
        <v>2027</v>
      </c>
      <c r="C556" s="2" t="str">
        <f t="shared" si="25"/>
        <v>January</v>
      </c>
      <c r="D556" s="2" t="str">
        <f t="shared" si="27"/>
        <v>Wednesday</v>
      </c>
      <c r="E556" s="4">
        <v>46393</v>
      </c>
      <c r="H556" s="3" t="str">
        <f>IF(OR(Table1[[#This Row],[US Holiday]]&lt;&gt;"", Table1[[#This Row],[India Holiday]]&lt;&gt;""), "Yes", "No")</f>
        <v>No</v>
      </c>
      <c r="I556" s="2">
        <f>IF(
  AND(
    WORKDAY(E556-1,1)=E556,
    _xlfn.CONCAT(F556:G556)=""
  ),
  _xlfn.MAXIFS(I$2:I555,C$2:C555,C556,B$2:B555,B556)+1,
  ""
)</f>
        <v>4</v>
      </c>
    </row>
    <row r="557" spans="2:9" x14ac:dyDescent="0.25">
      <c r="B557" s="2">
        <f t="shared" si="26"/>
        <v>2027</v>
      </c>
      <c r="C557" s="2" t="str">
        <f t="shared" si="25"/>
        <v>January</v>
      </c>
      <c r="D557" s="2" t="str">
        <f t="shared" si="27"/>
        <v>Thursday</v>
      </c>
      <c r="E557" s="4">
        <v>46394</v>
      </c>
      <c r="H557" s="3" t="str">
        <f>IF(OR(Table1[[#This Row],[US Holiday]]&lt;&gt;"", Table1[[#This Row],[India Holiday]]&lt;&gt;""), "Yes", "No")</f>
        <v>No</v>
      </c>
      <c r="I557" s="2">
        <f>IF(
  AND(
    WORKDAY(E557-1,1)=E557,
    _xlfn.CONCAT(F557:G557)=""
  ),
  _xlfn.MAXIFS(I$2:I556,C$2:C556,C557,B$2:B556,B557)+1,
  ""
)</f>
        <v>5</v>
      </c>
    </row>
    <row r="558" spans="2:9" x14ac:dyDescent="0.25">
      <c r="B558" s="2">
        <f t="shared" si="26"/>
        <v>2027</v>
      </c>
      <c r="C558" s="2" t="str">
        <f t="shared" si="25"/>
        <v>January</v>
      </c>
      <c r="D558" s="2" t="str">
        <f t="shared" si="27"/>
        <v>Friday</v>
      </c>
      <c r="E558" s="4">
        <v>46395</v>
      </c>
      <c r="H558" s="3" t="str">
        <f>IF(OR(Table1[[#This Row],[US Holiday]]&lt;&gt;"", Table1[[#This Row],[India Holiday]]&lt;&gt;""), "Yes", "No")</f>
        <v>No</v>
      </c>
      <c r="I558" s="2">
        <f>IF(
  AND(
    WORKDAY(E558-1,1)=E558,
    _xlfn.CONCAT(F558:G558)=""
  ),
  _xlfn.MAXIFS(I$2:I557,C$2:C557,C558,B$2:B557,B558)+1,
  ""
)</f>
        <v>6</v>
      </c>
    </row>
    <row r="559" spans="2:9" x14ac:dyDescent="0.25">
      <c r="B559" s="2">
        <f t="shared" si="26"/>
        <v>2027</v>
      </c>
      <c r="C559" s="2" t="str">
        <f t="shared" si="25"/>
        <v>January</v>
      </c>
      <c r="D559" s="2" t="str">
        <f t="shared" si="27"/>
        <v>Saturday</v>
      </c>
      <c r="E559" s="4">
        <v>46396</v>
      </c>
      <c r="H559" s="3" t="str">
        <f>IF(OR(Table1[[#This Row],[US Holiday]]&lt;&gt;"", Table1[[#This Row],[India Holiday]]&lt;&gt;""), "Yes", "No")</f>
        <v>No</v>
      </c>
      <c r="I559" s="2" t="str">
        <f>IF(
  AND(
    WORKDAY(E559-1,1)=E559,
    _xlfn.CONCAT(F559:G559)=""
  ),
  _xlfn.MAXIFS(I$2:I558,C$2:C558,C559,B$2:B558,B559)+1,
  ""
)</f>
        <v/>
      </c>
    </row>
    <row r="560" spans="2:9" x14ac:dyDescent="0.25">
      <c r="B560" s="2">
        <f t="shared" si="26"/>
        <v>2027</v>
      </c>
      <c r="C560" s="2" t="str">
        <f t="shared" si="25"/>
        <v>January</v>
      </c>
      <c r="D560" s="2" t="str">
        <f t="shared" si="27"/>
        <v>Sunday</v>
      </c>
      <c r="E560" s="4">
        <v>46397</v>
      </c>
      <c r="H560" s="3" t="str">
        <f>IF(OR(Table1[[#This Row],[US Holiday]]&lt;&gt;"", Table1[[#This Row],[India Holiday]]&lt;&gt;""), "Yes", "No")</f>
        <v>No</v>
      </c>
      <c r="I560" s="2" t="str">
        <f>IF(
  AND(
    WORKDAY(E560-1,1)=E560,
    _xlfn.CONCAT(F560:G560)=""
  ),
  _xlfn.MAXIFS(I$2:I559,C$2:C559,C560,B$2:B559,B560)+1,
  ""
)</f>
        <v/>
      </c>
    </row>
    <row r="561" spans="2:9" x14ac:dyDescent="0.25">
      <c r="B561" s="2">
        <f t="shared" si="26"/>
        <v>2027</v>
      </c>
      <c r="C561" s="2" t="str">
        <f t="shared" si="25"/>
        <v>January</v>
      </c>
      <c r="D561" s="2" t="str">
        <f t="shared" si="27"/>
        <v>Monday</v>
      </c>
      <c r="E561" s="4">
        <v>46398</v>
      </c>
      <c r="H561" s="3" t="str">
        <f>IF(OR(Table1[[#This Row],[US Holiday]]&lt;&gt;"", Table1[[#This Row],[India Holiday]]&lt;&gt;""), "Yes", "No")</f>
        <v>No</v>
      </c>
      <c r="I561" s="2">
        <f>IF(
  AND(
    WORKDAY(E561-1,1)=E561,
    _xlfn.CONCAT(F561:G561)=""
  ),
  _xlfn.MAXIFS(I$2:I560,C$2:C560,C561,B$2:B560,B561)+1,
  ""
)</f>
        <v>7</v>
      </c>
    </row>
    <row r="562" spans="2:9" x14ac:dyDescent="0.25">
      <c r="B562" s="2">
        <f t="shared" si="26"/>
        <v>2027</v>
      </c>
      <c r="C562" s="2" t="str">
        <f t="shared" si="25"/>
        <v>January</v>
      </c>
      <c r="D562" s="2" t="str">
        <f t="shared" si="27"/>
        <v>Tuesday</v>
      </c>
      <c r="E562" s="4">
        <v>46399</v>
      </c>
      <c r="H562" s="3" t="str">
        <f>IF(OR(Table1[[#This Row],[US Holiday]]&lt;&gt;"", Table1[[#This Row],[India Holiday]]&lt;&gt;""), "Yes", "No")</f>
        <v>No</v>
      </c>
      <c r="I562" s="2">
        <f>IF(
  AND(
    WORKDAY(E562-1,1)=E562,
    _xlfn.CONCAT(F562:G562)=""
  ),
  _xlfn.MAXIFS(I$2:I561,C$2:C561,C562,B$2:B561,B562)+1,
  ""
)</f>
        <v>8</v>
      </c>
    </row>
    <row r="563" spans="2:9" x14ac:dyDescent="0.25">
      <c r="B563" s="2">
        <f t="shared" si="26"/>
        <v>2027</v>
      </c>
      <c r="C563" s="2" t="str">
        <f t="shared" si="25"/>
        <v>January</v>
      </c>
      <c r="D563" s="2" t="str">
        <f t="shared" si="27"/>
        <v>Wednesday</v>
      </c>
      <c r="E563" s="4">
        <v>46400</v>
      </c>
      <c r="H563" s="3" t="str">
        <f>IF(OR(Table1[[#This Row],[US Holiday]]&lt;&gt;"", Table1[[#This Row],[India Holiday]]&lt;&gt;""), "Yes", "No")</f>
        <v>No</v>
      </c>
      <c r="I563" s="2">
        <f>IF(
  AND(
    WORKDAY(E563-1,1)=E563,
    _xlfn.CONCAT(F563:G563)=""
  ),
  _xlfn.MAXIFS(I$2:I562,C$2:C562,C563,B$2:B562,B563)+1,
  ""
)</f>
        <v>9</v>
      </c>
    </row>
    <row r="564" spans="2:9" x14ac:dyDescent="0.25">
      <c r="B564" s="2">
        <f t="shared" si="26"/>
        <v>2027</v>
      </c>
      <c r="C564" s="2" t="str">
        <f t="shared" si="25"/>
        <v>January</v>
      </c>
      <c r="D564" s="2" t="str">
        <f t="shared" si="27"/>
        <v>Thursday</v>
      </c>
      <c r="E564" s="4">
        <v>46401</v>
      </c>
      <c r="H564" s="3" t="str">
        <f>IF(OR(Table1[[#This Row],[US Holiday]]&lt;&gt;"", Table1[[#This Row],[India Holiday]]&lt;&gt;""), "Yes", "No")</f>
        <v>No</v>
      </c>
      <c r="I564" s="2">
        <f>IF(
  AND(
    WORKDAY(E564-1,1)=E564,
    _xlfn.CONCAT(F564:G564)=""
  ),
  _xlfn.MAXIFS(I$2:I563,C$2:C563,C564,B$2:B563,B564)+1,
  ""
)</f>
        <v>10</v>
      </c>
    </row>
    <row r="565" spans="2:9" x14ac:dyDescent="0.25">
      <c r="B565" s="2">
        <f t="shared" si="26"/>
        <v>2027</v>
      </c>
      <c r="C565" s="2" t="str">
        <f t="shared" si="25"/>
        <v>January</v>
      </c>
      <c r="D565" s="2" t="str">
        <f t="shared" si="27"/>
        <v>Friday</v>
      </c>
      <c r="E565" s="4">
        <v>46402</v>
      </c>
      <c r="H565" s="3" t="str">
        <f>IF(OR(Table1[[#This Row],[US Holiday]]&lt;&gt;"", Table1[[#This Row],[India Holiday]]&lt;&gt;""), "Yes", "No")</f>
        <v>No</v>
      </c>
      <c r="I565" s="2">
        <f>IF(
  AND(
    WORKDAY(E565-1,1)=E565,
    _xlfn.CONCAT(F565:G565)=""
  ),
  _xlfn.MAXIFS(I$2:I564,C$2:C564,C565,B$2:B564,B565)+1,
  ""
)</f>
        <v>11</v>
      </c>
    </row>
    <row r="566" spans="2:9" x14ac:dyDescent="0.25">
      <c r="B566" s="2">
        <f t="shared" si="26"/>
        <v>2027</v>
      </c>
      <c r="C566" s="2" t="str">
        <f t="shared" si="25"/>
        <v>January</v>
      </c>
      <c r="D566" s="2" t="str">
        <f t="shared" si="27"/>
        <v>Saturday</v>
      </c>
      <c r="E566" s="4">
        <v>46403</v>
      </c>
      <c r="H566" s="3" t="str">
        <f>IF(OR(Table1[[#This Row],[US Holiday]]&lt;&gt;"", Table1[[#This Row],[India Holiday]]&lt;&gt;""), "Yes", "No")</f>
        <v>No</v>
      </c>
      <c r="I566" s="2" t="str">
        <f>IF(
  AND(
    WORKDAY(E566-1,1)=E566,
    _xlfn.CONCAT(F566:G566)=""
  ),
  _xlfn.MAXIFS(I$2:I565,C$2:C565,C566,B$2:B565,B566)+1,
  ""
)</f>
        <v/>
      </c>
    </row>
    <row r="567" spans="2:9" x14ac:dyDescent="0.25">
      <c r="B567" s="2">
        <f t="shared" si="26"/>
        <v>2027</v>
      </c>
      <c r="C567" s="2" t="str">
        <f t="shared" si="25"/>
        <v>January</v>
      </c>
      <c r="D567" s="2" t="str">
        <f t="shared" si="27"/>
        <v>Sunday</v>
      </c>
      <c r="E567" s="4">
        <v>46404</v>
      </c>
      <c r="H567" s="3" t="str">
        <f>IF(OR(Table1[[#This Row],[US Holiday]]&lt;&gt;"", Table1[[#This Row],[India Holiday]]&lt;&gt;""), "Yes", "No")</f>
        <v>No</v>
      </c>
      <c r="I567" s="2" t="str">
        <f>IF(
  AND(
    WORKDAY(E567-1,1)=E567,
    _xlfn.CONCAT(F567:G567)=""
  ),
  _xlfn.MAXIFS(I$2:I566,C$2:C566,C567,B$2:B566,B567)+1,
  ""
)</f>
        <v/>
      </c>
    </row>
    <row r="568" spans="2:9" x14ac:dyDescent="0.25">
      <c r="B568" s="2">
        <f t="shared" si="26"/>
        <v>2027</v>
      </c>
      <c r="C568" s="2" t="str">
        <f t="shared" si="25"/>
        <v>January</v>
      </c>
      <c r="D568" s="2" t="str">
        <f t="shared" si="27"/>
        <v>Monday</v>
      </c>
      <c r="E568" s="4">
        <v>46405</v>
      </c>
      <c r="H568" s="3" t="str">
        <f>IF(OR(Table1[[#This Row],[US Holiday]]&lt;&gt;"", Table1[[#This Row],[India Holiday]]&lt;&gt;""), "Yes", "No")</f>
        <v>No</v>
      </c>
      <c r="I568" s="2">
        <f>IF(
  AND(
    WORKDAY(E568-1,1)=E568,
    _xlfn.CONCAT(F568:G568)=""
  ),
  _xlfn.MAXIFS(I$2:I567,C$2:C567,C568,B$2:B567,B568)+1,
  ""
)</f>
        <v>12</v>
      </c>
    </row>
    <row r="569" spans="2:9" x14ac:dyDescent="0.25">
      <c r="B569" s="2">
        <f t="shared" si="26"/>
        <v>2027</v>
      </c>
      <c r="C569" s="2" t="str">
        <f t="shared" si="25"/>
        <v>January</v>
      </c>
      <c r="D569" s="2" t="str">
        <f t="shared" si="27"/>
        <v>Tuesday</v>
      </c>
      <c r="E569" s="4">
        <v>46406</v>
      </c>
      <c r="H569" s="3" t="str">
        <f>IF(OR(Table1[[#This Row],[US Holiday]]&lt;&gt;"", Table1[[#This Row],[India Holiday]]&lt;&gt;""), "Yes", "No")</f>
        <v>No</v>
      </c>
      <c r="I569" s="2">
        <f>IF(
  AND(
    WORKDAY(E569-1,1)=E569,
    _xlfn.CONCAT(F569:G569)=""
  ),
  _xlfn.MAXIFS(I$2:I568,C$2:C568,C569,B$2:B568,B569)+1,
  ""
)</f>
        <v>13</v>
      </c>
    </row>
    <row r="570" spans="2:9" x14ac:dyDescent="0.25">
      <c r="B570" s="2">
        <f t="shared" si="26"/>
        <v>2027</v>
      </c>
      <c r="C570" s="2" t="str">
        <f t="shared" si="25"/>
        <v>January</v>
      </c>
      <c r="D570" s="2" t="str">
        <f t="shared" si="27"/>
        <v>Wednesday</v>
      </c>
      <c r="E570" s="4">
        <v>46407</v>
      </c>
      <c r="H570" s="3" t="str">
        <f>IF(OR(Table1[[#This Row],[US Holiday]]&lt;&gt;"", Table1[[#This Row],[India Holiday]]&lt;&gt;""), "Yes", "No")</f>
        <v>No</v>
      </c>
      <c r="I570" s="2">
        <f>IF(
  AND(
    WORKDAY(E570-1,1)=E570,
    _xlfn.CONCAT(F570:G570)=""
  ),
  _xlfn.MAXIFS(I$2:I569,C$2:C569,C570,B$2:B569,B570)+1,
  ""
)</f>
        <v>14</v>
      </c>
    </row>
    <row r="571" spans="2:9" x14ac:dyDescent="0.25">
      <c r="B571" s="2">
        <f t="shared" si="26"/>
        <v>2027</v>
      </c>
      <c r="C571" s="2" t="str">
        <f t="shared" si="25"/>
        <v>January</v>
      </c>
      <c r="D571" s="2" t="str">
        <f t="shared" si="27"/>
        <v>Thursday</v>
      </c>
      <c r="E571" s="4">
        <v>46408</v>
      </c>
      <c r="H571" s="3" t="str">
        <f>IF(OR(Table1[[#This Row],[US Holiday]]&lt;&gt;"", Table1[[#This Row],[India Holiday]]&lt;&gt;""), "Yes", "No")</f>
        <v>No</v>
      </c>
      <c r="I571" s="2">
        <f>IF(
  AND(
    WORKDAY(E571-1,1)=E571,
    _xlfn.CONCAT(F571:G571)=""
  ),
  _xlfn.MAXIFS(I$2:I570,C$2:C570,C571,B$2:B570,B571)+1,
  ""
)</f>
        <v>15</v>
      </c>
    </row>
    <row r="572" spans="2:9" x14ac:dyDescent="0.25">
      <c r="B572" s="2">
        <f t="shared" si="26"/>
        <v>2027</v>
      </c>
      <c r="C572" s="2" t="str">
        <f t="shared" si="25"/>
        <v>January</v>
      </c>
      <c r="D572" s="2" t="str">
        <f t="shared" si="27"/>
        <v>Friday</v>
      </c>
      <c r="E572" s="4">
        <v>46409</v>
      </c>
      <c r="H572" s="3" t="str">
        <f>IF(OR(Table1[[#This Row],[US Holiday]]&lt;&gt;"", Table1[[#This Row],[India Holiday]]&lt;&gt;""), "Yes", "No")</f>
        <v>No</v>
      </c>
      <c r="I572" s="2">
        <f>IF(
  AND(
    WORKDAY(E572-1,1)=E572,
    _xlfn.CONCAT(F572:G572)=""
  ),
  _xlfn.MAXIFS(I$2:I571,C$2:C571,C572,B$2:B571,B572)+1,
  ""
)</f>
        <v>16</v>
      </c>
    </row>
    <row r="573" spans="2:9" x14ac:dyDescent="0.25">
      <c r="B573" s="2">
        <f t="shared" si="26"/>
        <v>2027</v>
      </c>
      <c r="C573" s="2" t="str">
        <f t="shared" si="25"/>
        <v>January</v>
      </c>
      <c r="D573" s="2" t="str">
        <f t="shared" si="27"/>
        <v>Saturday</v>
      </c>
      <c r="E573" s="4">
        <v>46410</v>
      </c>
      <c r="H573" s="3" t="str">
        <f>IF(OR(Table1[[#This Row],[US Holiday]]&lt;&gt;"", Table1[[#This Row],[India Holiday]]&lt;&gt;""), "Yes", "No")</f>
        <v>No</v>
      </c>
      <c r="I573" s="2" t="str">
        <f>IF(
  AND(
    WORKDAY(E573-1,1)=E573,
    _xlfn.CONCAT(F573:G573)=""
  ),
  _xlfn.MAXIFS(I$2:I572,C$2:C572,C573,B$2:B572,B573)+1,
  ""
)</f>
        <v/>
      </c>
    </row>
    <row r="574" spans="2:9" x14ac:dyDescent="0.25">
      <c r="B574" s="2">
        <f t="shared" si="26"/>
        <v>2027</v>
      </c>
      <c r="C574" s="2" t="str">
        <f t="shared" si="25"/>
        <v>January</v>
      </c>
      <c r="D574" s="2" t="str">
        <f t="shared" si="27"/>
        <v>Sunday</v>
      </c>
      <c r="E574" s="4">
        <v>46411</v>
      </c>
      <c r="H574" s="3" t="str">
        <f>IF(OR(Table1[[#This Row],[US Holiday]]&lt;&gt;"", Table1[[#This Row],[India Holiday]]&lt;&gt;""), "Yes", "No")</f>
        <v>No</v>
      </c>
      <c r="I574" s="2" t="str">
        <f>IF(
  AND(
    WORKDAY(E574-1,1)=E574,
    _xlfn.CONCAT(F574:G574)=""
  ),
  _xlfn.MAXIFS(I$2:I573,C$2:C573,C574,B$2:B573,B574)+1,
  ""
)</f>
        <v/>
      </c>
    </row>
    <row r="575" spans="2:9" x14ac:dyDescent="0.25">
      <c r="B575" s="2">
        <f t="shared" si="26"/>
        <v>2027</v>
      </c>
      <c r="C575" s="2" t="str">
        <f t="shared" si="25"/>
        <v>January</v>
      </c>
      <c r="D575" s="2" t="str">
        <f t="shared" si="27"/>
        <v>Monday</v>
      </c>
      <c r="E575" s="4">
        <v>46412</v>
      </c>
      <c r="H575" s="3" t="str">
        <f>IF(OR(Table1[[#This Row],[US Holiday]]&lt;&gt;"", Table1[[#This Row],[India Holiday]]&lt;&gt;""), "Yes", "No")</f>
        <v>No</v>
      </c>
      <c r="I575" s="2">
        <f>IF(
  AND(
    WORKDAY(E575-1,1)=E575,
    _xlfn.CONCAT(F575:G575)=""
  ),
  _xlfn.MAXIFS(I$2:I574,C$2:C574,C575,B$2:B574,B575)+1,
  ""
)</f>
        <v>17</v>
      </c>
    </row>
    <row r="576" spans="2:9" x14ac:dyDescent="0.25">
      <c r="B576" s="2">
        <f t="shared" si="26"/>
        <v>2027</v>
      </c>
      <c r="C576" s="2" t="str">
        <f t="shared" si="25"/>
        <v>January</v>
      </c>
      <c r="D576" s="2" t="str">
        <f t="shared" si="27"/>
        <v>Tuesday</v>
      </c>
      <c r="E576" s="4">
        <v>46413</v>
      </c>
      <c r="H576" s="3" t="str">
        <f>IF(OR(Table1[[#This Row],[US Holiday]]&lt;&gt;"", Table1[[#This Row],[India Holiday]]&lt;&gt;""), "Yes", "No")</f>
        <v>No</v>
      </c>
      <c r="I576" s="2">
        <f>IF(
  AND(
    WORKDAY(E576-1,1)=E576,
    _xlfn.CONCAT(F576:G576)=""
  ),
  _xlfn.MAXIFS(I$2:I575,C$2:C575,C576,B$2:B575,B576)+1,
  ""
)</f>
        <v>18</v>
      </c>
    </row>
    <row r="577" spans="2:9" x14ac:dyDescent="0.25">
      <c r="B577" s="2">
        <f t="shared" si="26"/>
        <v>2027</v>
      </c>
      <c r="C577" s="2" t="str">
        <f t="shared" ref="C577:C640" si="28">TEXT(E577,"mmmm")</f>
        <v>January</v>
      </c>
      <c r="D577" s="2" t="str">
        <f t="shared" si="27"/>
        <v>Wednesday</v>
      </c>
      <c r="E577" s="4">
        <v>46414</v>
      </c>
      <c r="H577" s="3" t="str">
        <f>IF(OR(Table1[[#This Row],[US Holiday]]&lt;&gt;"", Table1[[#This Row],[India Holiday]]&lt;&gt;""), "Yes", "No")</f>
        <v>No</v>
      </c>
      <c r="I577" s="2">
        <f>IF(
  AND(
    WORKDAY(E577-1,1)=E577,
    _xlfn.CONCAT(F577:G577)=""
  ),
  _xlfn.MAXIFS(I$2:I576,C$2:C576,C577,B$2:B576,B577)+1,
  ""
)</f>
        <v>19</v>
      </c>
    </row>
    <row r="578" spans="2:9" x14ac:dyDescent="0.25">
      <c r="B578" s="2">
        <f t="shared" si="26"/>
        <v>2027</v>
      </c>
      <c r="C578" s="2" t="str">
        <f t="shared" si="28"/>
        <v>January</v>
      </c>
      <c r="D578" s="2" t="str">
        <f t="shared" si="27"/>
        <v>Thursday</v>
      </c>
      <c r="E578" s="4">
        <v>46415</v>
      </c>
      <c r="H578" s="3" t="str">
        <f>IF(OR(Table1[[#This Row],[US Holiday]]&lt;&gt;"", Table1[[#This Row],[India Holiday]]&lt;&gt;""), "Yes", "No")</f>
        <v>No</v>
      </c>
      <c r="I578" s="2">
        <f>IF(
  AND(
    WORKDAY(E578-1,1)=E578,
    _xlfn.CONCAT(F578:G578)=""
  ),
  _xlfn.MAXIFS(I$2:I577,C$2:C577,C578,B$2:B577,B578)+1,
  ""
)</f>
        <v>20</v>
      </c>
    </row>
    <row r="579" spans="2:9" x14ac:dyDescent="0.25">
      <c r="B579" s="2">
        <f t="shared" ref="B579:B642" si="29">YEAR(E579)</f>
        <v>2027</v>
      </c>
      <c r="C579" s="2" t="str">
        <f t="shared" si="28"/>
        <v>January</v>
      </c>
      <c r="D579" s="2" t="str">
        <f t="shared" ref="D579:D642" si="30">TEXT(E579,"dddd")</f>
        <v>Friday</v>
      </c>
      <c r="E579" s="4">
        <v>46416</v>
      </c>
      <c r="H579" s="3" t="str">
        <f>IF(OR(Table1[[#This Row],[US Holiday]]&lt;&gt;"", Table1[[#This Row],[India Holiday]]&lt;&gt;""), "Yes", "No")</f>
        <v>No</v>
      </c>
      <c r="I579" s="2">
        <f>IF(
  AND(
    WORKDAY(E579-1,1)=E579,
    _xlfn.CONCAT(F579:G579)=""
  ),
  _xlfn.MAXIFS(I$2:I578,C$2:C578,C579,B$2:B578,B579)+1,
  ""
)</f>
        <v>21</v>
      </c>
    </row>
    <row r="580" spans="2:9" x14ac:dyDescent="0.25">
      <c r="B580" s="2">
        <f t="shared" si="29"/>
        <v>2027</v>
      </c>
      <c r="C580" s="2" t="str">
        <f t="shared" si="28"/>
        <v>January</v>
      </c>
      <c r="D580" s="2" t="str">
        <f t="shared" si="30"/>
        <v>Saturday</v>
      </c>
      <c r="E580" s="4">
        <v>46417</v>
      </c>
      <c r="H580" s="3" t="str">
        <f>IF(OR(Table1[[#This Row],[US Holiday]]&lt;&gt;"", Table1[[#This Row],[India Holiday]]&lt;&gt;""), "Yes", "No")</f>
        <v>No</v>
      </c>
      <c r="I580" s="2" t="str">
        <f>IF(
  AND(
    WORKDAY(E580-1,1)=E580,
    _xlfn.CONCAT(F580:G580)=""
  ),
  _xlfn.MAXIFS(I$2:I579,C$2:C579,C580,B$2:B579,B580)+1,
  ""
)</f>
        <v/>
      </c>
    </row>
    <row r="581" spans="2:9" x14ac:dyDescent="0.25">
      <c r="B581" s="2">
        <f t="shared" si="29"/>
        <v>2027</v>
      </c>
      <c r="C581" s="2" t="str">
        <f t="shared" si="28"/>
        <v>January</v>
      </c>
      <c r="D581" s="2" t="str">
        <f t="shared" si="30"/>
        <v>Sunday</v>
      </c>
      <c r="E581" s="4">
        <v>46418</v>
      </c>
      <c r="H581" s="3" t="str">
        <f>IF(OR(Table1[[#This Row],[US Holiday]]&lt;&gt;"", Table1[[#This Row],[India Holiday]]&lt;&gt;""), "Yes", "No")</f>
        <v>No</v>
      </c>
      <c r="I581" s="2" t="str">
        <f>IF(
  AND(
    WORKDAY(E581-1,1)=E581,
    _xlfn.CONCAT(F581:G581)=""
  ),
  _xlfn.MAXIFS(I$2:I580,C$2:C580,C581,B$2:B580,B581)+1,
  ""
)</f>
        <v/>
      </c>
    </row>
    <row r="582" spans="2:9" x14ac:dyDescent="0.25">
      <c r="B582" s="2">
        <f t="shared" si="29"/>
        <v>2027</v>
      </c>
      <c r="C582" s="2" t="str">
        <f t="shared" si="28"/>
        <v>February</v>
      </c>
      <c r="D582" s="2" t="str">
        <f t="shared" si="30"/>
        <v>Monday</v>
      </c>
      <c r="E582" s="4">
        <v>46419</v>
      </c>
      <c r="H582" s="3" t="str">
        <f>IF(OR(Table1[[#This Row],[US Holiday]]&lt;&gt;"", Table1[[#This Row],[India Holiday]]&lt;&gt;""), "Yes", "No")</f>
        <v>No</v>
      </c>
      <c r="I582" s="2">
        <f>IF(
  AND(
    WORKDAY(E582-1,1)=E582,
    _xlfn.CONCAT(F582:G582)=""
  ),
  _xlfn.MAXIFS(I$2:I581,C$2:C581,C582,B$2:B581,B582)+1,
  ""
)</f>
        <v>1</v>
      </c>
    </row>
    <row r="583" spans="2:9" x14ac:dyDescent="0.25">
      <c r="B583" s="2">
        <f t="shared" si="29"/>
        <v>2027</v>
      </c>
      <c r="C583" s="2" t="str">
        <f t="shared" si="28"/>
        <v>February</v>
      </c>
      <c r="D583" s="2" t="str">
        <f t="shared" si="30"/>
        <v>Tuesday</v>
      </c>
      <c r="E583" s="4">
        <v>46420</v>
      </c>
      <c r="H583" s="3" t="str">
        <f>IF(OR(Table1[[#This Row],[US Holiday]]&lt;&gt;"", Table1[[#This Row],[India Holiday]]&lt;&gt;""), "Yes", "No")</f>
        <v>No</v>
      </c>
      <c r="I583" s="2">
        <f>IF(
  AND(
    WORKDAY(E583-1,1)=E583,
    _xlfn.CONCAT(F583:G583)=""
  ),
  _xlfn.MAXIFS(I$2:I582,C$2:C582,C583,B$2:B582,B583)+1,
  ""
)</f>
        <v>2</v>
      </c>
    </row>
    <row r="584" spans="2:9" x14ac:dyDescent="0.25">
      <c r="B584" s="2">
        <f t="shared" si="29"/>
        <v>2027</v>
      </c>
      <c r="C584" s="2" t="str">
        <f t="shared" si="28"/>
        <v>February</v>
      </c>
      <c r="D584" s="2" t="str">
        <f t="shared" si="30"/>
        <v>Wednesday</v>
      </c>
      <c r="E584" s="4">
        <v>46421</v>
      </c>
      <c r="H584" s="3" t="str">
        <f>IF(OR(Table1[[#This Row],[US Holiday]]&lt;&gt;"", Table1[[#This Row],[India Holiday]]&lt;&gt;""), "Yes", "No")</f>
        <v>No</v>
      </c>
      <c r="I584" s="2">
        <f>IF(
  AND(
    WORKDAY(E584-1,1)=E584,
    _xlfn.CONCAT(F584:G584)=""
  ),
  _xlfn.MAXIFS(I$2:I583,C$2:C583,C584,B$2:B583,B584)+1,
  ""
)</f>
        <v>3</v>
      </c>
    </row>
    <row r="585" spans="2:9" x14ac:dyDescent="0.25">
      <c r="B585" s="2">
        <f t="shared" si="29"/>
        <v>2027</v>
      </c>
      <c r="C585" s="2" t="str">
        <f t="shared" si="28"/>
        <v>February</v>
      </c>
      <c r="D585" s="2" t="str">
        <f t="shared" si="30"/>
        <v>Thursday</v>
      </c>
      <c r="E585" s="4">
        <v>46422</v>
      </c>
      <c r="H585" s="3" t="str">
        <f>IF(OR(Table1[[#This Row],[US Holiday]]&lt;&gt;"", Table1[[#This Row],[India Holiday]]&lt;&gt;""), "Yes", "No")</f>
        <v>No</v>
      </c>
      <c r="I585" s="2">
        <f>IF(
  AND(
    WORKDAY(E585-1,1)=E585,
    _xlfn.CONCAT(F585:G585)=""
  ),
  _xlfn.MAXIFS(I$2:I584,C$2:C584,C585,B$2:B584,B585)+1,
  ""
)</f>
        <v>4</v>
      </c>
    </row>
    <row r="586" spans="2:9" x14ac:dyDescent="0.25">
      <c r="B586" s="2">
        <f t="shared" si="29"/>
        <v>2027</v>
      </c>
      <c r="C586" s="2" t="str">
        <f t="shared" si="28"/>
        <v>February</v>
      </c>
      <c r="D586" s="2" t="str">
        <f t="shared" si="30"/>
        <v>Friday</v>
      </c>
      <c r="E586" s="4">
        <v>46423</v>
      </c>
      <c r="H586" s="3" t="str">
        <f>IF(OR(Table1[[#This Row],[US Holiday]]&lt;&gt;"", Table1[[#This Row],[India Holiday]]&lt;&gt;""), "Yes", "No")</f>
        <v>No</v>
      </c>
      <c r="I586" s="2">
        <f>IF(
  AND(
    WORKDAY(E586-1,1)=E586,
    _xlfn.CONCAT(F586:G586)=""
  ),
  _xlfn.MAXIFS(I$2:I585,C$2:C585,C586,B$2:B585,B586)+1,
  ""
)</f>
        <v>5</v>
      </c>
    </row>
    <row r="587" spans="2:9" x14ac:dyDescent="0.25">
      <c r="B587" s="2">
        <f t="shared" si="29"/>
        <v>2027</v>
      </c>
      <c r="C587" s="2" t="str">
        <f t="shared" si="28"/>
        <v>February</v>
      </c>
      <c r="D587" s="2" t="str">
        <f t="shared" si="30"/>
        <v>Saturday</v>
      </c>
      <c r="E587" s="4">
        <v>46424</v>
      </c>
      <c r="H587" s="3" t="str">
        <f>IF(OR(Table1[[#This Row],[US Holiday]]&lt;&gt;"", Table1[[#This Row],[India Holiday]]&lt;&gt;""), "Yes", "No")</f>
        <v>No</v>
      </c>
      <c r="I587" s="2" t="str">
        <f>IF(
  AND(
    WORKDAY(E587-1,1)=E587,
    _xlfn.CONCAT(F587:G587)=""
  ),
  _xlfn.MAXIFS(I$2:I586,C$2:C586,C587,B$2:B586,B587)+1,
  ""
)</f>
        <v/>
      </c>
    </row>
    <row r="588" spans="2:9" x14ac:dyDescent="0.25">
      <c r="B588" s="2">
        <f t="shared" si="29"/>
        <v>2027</v>
      </c>
      <c r="C588" s="2" t="str">
        <f t="shared" si="28"/>
        <v>February</v>
      </c>
      <c r="D588" s="2" t="str">
        <f t="shared" si="30"/>
        <v>Sunday</v>
      </c>
      <c r="E588" s="4">
        <v>46425</v>
      </c>
      <c r="H588" s="3" t="str">
        <f>IF(OR(Table1[[#This Row],[US Holiday]]&lt;&gt;"", Table1[[#This Row],[India Holiday]]&lt;&gt;""), "Yes", "No")</f>
        <v>No</v>
      </c>
      <c r="I588" s="2" t="str">
        <f>IF(
  AND(
    WORKDAY(E588-1,1)=E588,
    _xlfn.CONCAT(F588:G588)=""
  ),
  _xlfn.MAXIFS(I$2:I587,C$2:C587,C588,B$2:B587,B588)+1,
  ""
)</f>
        <v/>
      </c>
    </row>
    <row r="589" spans="2:9" x14ac:dyDescent="0.25">
      <c r="B589" s="2">
        <f t="shared" si="29"/>
        <v>2027</v>
      </c>
      <c r="C589" s="2" t="str">
        <f t="shared" si="28"/>
        <v>February</v>
      </c>
      <c r="D589" s="2" t="str">
        <f t="shared" si="30"/>
        <v>Monday</v>
      </c>
      <c r="E589" s="4">
        <v>46426</v>
      </c>
      <c r="H589" s="3" t="str">
        <f>IF(OR(Table1[[#This Row],[US Holiday]]&lt;&gt;"", Table1[[#This Row],[India Holiday]]&lt;&gt;""), "Yes", "No")</f>
        <v>No</v>
      </c>
      <c r="I589" s="2">
        <f>IF(
  AND(
    WORKDAY(E589-1,1)=E589,
    _xlfn.CONCAT(F589:G589)=""
  ),
  _xlfn.MAXIFS(I$2:I588,C$2:C588,C589,B$2:B588,B589)+1,
  ""
)</f>
        <v>6</v>
      </c>
    </row>
    <row r="590" spans="2:9" x14ac:dyDescent="0.25">
      <c r="B590" s="2">
        <f t="shared" si="29"/>
        <v>2027</v>
      </c>
      <c r="C590" s="2" t="str">
        <f t="shared" si="28"/>
        <v>February</v>
      </c>
      <c r="D590" s="2" t="str">
        <f t="shared" si="30"/>
        <v>Tuesday</v>
      </c>
      <c r="E590" s="4">
        <v>46427</v>
      </c>
      <c r="H590" s="3" t="str">
        <f>IF(OR(Table1[[#This Row],[US Holiday]]&lt;&gt;"", Table1[[#This Row],[India Holiday]]&lt;&gt;""), "Yes", "No")</f>
        <v>No</v>
      </c>
      <c r="I590" s="2">
        <f>IF(
  AND(
    WORKDAY(E590-1,1)=E590,
    _xlfn.CONCAT(F590:G590)=""
  ),
  _xlfn.MAXIFS(I$2:I589,C$2:C589,C590,B$2:B589,B590)+1,
  ""
)</f>
        <v>7</v>
      </c>
    </row>
    <row r="591" spans="2:9" x14ac:dyDescent="0.25">
      <c r="B591" s="2">
        <f t="shared" si="29"/>
        <v>2027</v>
      </c>
      <c r="C591" s="2" t="str">
        <f t="shared" si="28"/>
        <v>February</v>
      </c>
      <c r="D591" s="2" t="str">
        <f t="shared" si="30"/>
        <v>Wednesday</v>
      </c>
      <c r="E591" s="4">
        <v>46428</v>
      </c>
      <c r="H591" s="3" t="str">
        <f>IF(OR(Table1[[#This Row],[US Holiday]]&lt;&gt;"", Table1[[#This Row],[India Holiday]]&lt;&gt;""), "Yes", "No")</f>
        <v>No</v>
      </c>
      <c r="I591" s="2">
        <f>IF(
  AND(
    WORKDAY(E591-1,1)=E591,
    _xlfn.CONCAT(F591:G591)=""
  ),
  _xlfn.MAXIFS(I$2:I590,C$2:C590,C591,B$2:B590,B591)+1,
  ""
)</f>
        <v>8</v>
      </c>
    </row>
    <row r="592" spans="2:9" x14ac:dyDescent="0.25">
      <c r="B592" s="2">
        <f t="shared" si="29"/>
        <v>2027</v>
      </c>
      <c r="C592" s="2" t="str">
        <f t="shared" si="28"/>
        <v>February</v>
      </c>
      <c r="D592" s="2" t="str">
        <f t="shared" si="30"/>
        <v>Thursday</v>
      </c>
      <c r="E592" s="4">
        <v>46429</v>
      </c>
      <c r="H592" s="3" t="str">
        <f>IF(OR(Table1[[#This Row],[US Holiday]]&lt;&gt;"", Table1[[#This Row],[India Holiday]]&lt;&gt;""), "Yes", "No")</f>
        <v>No</v>
      </c>
      <c r="I592" s="2">
        <f>IF(
  AND(
    WORKDAY(E592-1,1)=E592,
    _xlfn.CONCAT(F592:G592)=""
  ),
  _xlfn.MAXIFS(I$2:I591,C$2:C591,C592,B$2:B591,B592)+1,
  ""
)</f>
        <v>9</v>
      </c>
    </row>
    <row r="593" spans="2:9" x14ac:dyDescent="0.25">
      <c r="B593" s="2">
        <f t="shared" si="29"/>
        <v>2027</v>
      </c>
      <c r="C593" s="2" t="str">
        <f t="shared" si="28"/>
        <v>February</v>
      </c>
      <c r="D593" s="2" t="str">
        <f t="shared" si="30"/>
        <v>Friday</v>
      </c>
      <c r="E593" s="4">
        <v>46430</v>
      </c>
      <c r="H593" s="3" t="str">
        <f>IF(OR(Table1[[#This Row],[US Holiday]]&lt;&gt;"", Table1[[#This Row],[India Holiday]]&lt;&gt;""), "Yes", "No")</f>
        <v>No</v>
      </c>
      <c r="I593" s="2">
        <f>IF(
  AND(
    WORKDAY(E593-1,1)=E593,
    _xlfn.CONCAT(F593:G593)=""
  ),
  _xlfn.MAXIFS(I$2:I592,C$2:C592,C593,B$2:B592,B593)+1,
  ""
)</f>
        <v>10</v>
      </c>
    </row>
    <row r="594" spans="2:9" x14ac:dyDescent="0.25">
      <c r="B594" s="2">
        <f t="shared" si="29"/>
        <v>2027</v>
      </c>
      <c r="C594" s="2" t="str">
        <f t="shared" si="28"/>
        <v>February</v>
      </c>
      <c r="D594" s="2" t="str">
        <f t="shared" si="30"/>
        <v>Saturday</v>
      </c>
      <c r="E594" s="4">
        <v>46431</v>
      </c>
      <c r="H594" s="3" t="str">
        <f>IF(OR(Table1[[#This Row],[US Holiday]]&lt;&gt;"", Table1[[#This Row],[India Holiday]]&lt;&gt;""), "Yes", "No")</f>
        <v>No</v>
      </c>
      <c r="I594" s="2" t="str">
        <f>IF(
  AND(
    WORKDAY(E594-1,1)=E594,
    _xlfn.CONCAT(F594:G594)=""
  ),
  _xlfn.MAXIFS(I$2:I593,C$2:C593,C594,B$2:B593,B594)+1,
  ""
)</f>
        <v/>
      </c>
    </row>
    <row r="595" spans="2:9" x14ac:dyDescent="0.25">
      <c r="B595" s="2">
        <f t="shared" si="29"/>
        <v>2027</v>
      </c>
      <c r="C595" s="2" t="str">
        <f t="shared" si="28"/>
        <v>February</v>
      </c>
      <c r="D595" s="2" t="str">
        <f t="shared" si="30"/>
        <v>Sunday</v>
      </c>
      <c r="E595" s="4">
        <v>46432</v>
      </c>
      <c r="H595" s="3" t="str">
        <f>IF(OR(Table1[[#This Row],[US Holiday]]&lt;&gt;"", Table1[[#This Row],[India Holiday]]&lt;&gt;""), "Yes", "No")</f>
        <v>No</v>
      </c>
      <c r="I595" s="2" t="str">
        <f>IF(
  AND(
    WORKDAY(E595-1,1)=E595,
    _xlfn.CONCAT(F595:G595)=""
  ),
  _xlfn.MAXIFS(I$2:I594,C$2:C594,C595,B$2:B594,B595)+1,
  ""
)</f>
        <v/>
      </c>
    </row>
    <row r="596" spans="2:9" x14ac:dyDescent="0.25">
      <c r="B596" s="2">
        <f t="shared" si="29"/>
        <v>2027</v>
      </c>
      <c r="C596" s="2" t="str">
        <f t="shared" si="28"/>
        <v>February</v>
      </c>
      <c r="D596" s="2" t="str">
        <f t="shared" si="30"/>
        <v>Monday</v>
      </c>
      <c r="E596" s="4">
        <v>46433</v>
      </c>
      <c r="H596" s="3" t="str">
        <f>IF(OR(Table1[[#This Row],[US Holiday]]&lt;&gt;"", Table1[[#This Row],[India Holiday]]&lt;&gt;""), "Yes", "No")</f>
        <v>No</v>
      </c>
      <c r="I596" s="2">
        <f>IF(
  AND(
    WORKDAY(E596-1,1)=E596,
    _xlfn.CONCAT(F596:G596)=""
  ),
  _xlfn.MAXIFS(I$2:I595,C$2:C595,C596,B$2:B595,B596)+1,
  ""
)</f>
        <v>11</v>
      </c>
    </row>
    <row r="597" spans="2:9" x14ac:dyDescent="0.25">
      <c r="B597" s="2">
        <f t="shared" si="29"/>
        <v>2027</v>
      </c>
      <c r="C597" s="2" t="str">
        <f t="shared" si="28"/>
        <v>February</v>
      </c>
      <c r="D597" s="2" t="str">
        <f t="shared" si="30"/>
        <v>Tuesday</v>
      </c>
      <c r="E597" s="4">
        <v>46434</v>
      </c>
      <c r="H597" s="3" t="str">
        <f>IF(OR(Table1[[#This Row],[US Holiday]]&lt;&gt;"", Table1[[#This Row],[India Holiday]]&lt;&gt;""), "Yes", "No")</f>
        <v>No</v>
      </c>
      <c r="I597" s="2">
        <f>IF(
  AND(
    WORKDAY(E597-1,1)=E597,
    _xlfn.CONCAT(F597:G597)=""
  ),
  _xlfn.MAXIFS(I$2:I596,C$2:C596,C597,B$2:B596,B597)+1,
  ""
)</f>
        <v>12</v>
      </c>
    </row>
    <row r="598" spans="2:9" x14ac:dyDescent="0.25">
      <c r="B598" s="2">
        <f t="shared" si="29"/>
        <v>2027</v>
      </c>
      <c r="C598" s="2" t="str">
        <f t="shared" si="28"/>
        <v>February</v>
      </c>
      <c r="D598" s="2" t="str">
        <f t="shared" si="30"/>
        <v>Wednesday</v>
      </c>
      <c r="E598" s="4">
        <v>46435</v>
      </c>
      <c r="H598" s="3" t="str">
        <f>IF(OR(Table1[[#This Row],[US Holiday]]&lt;&gt;"", Table1[[#This Row],[India Holiday]]&lt;&gt;""), "Yes", "No")</f>
        <v>No</v>
      </c>
      <c r="I598" s="2">
        <f>IF(
  AND(
    WORKDAY(E598-1,1)=E598,
    _xlfn.CONCAT(F598:G598)=""
  ),
  _xlfn.MAXIFS(I$2:I597,C$2:C597,C598,B$2:B597,B598)+1,
  ""
)</f>
        <v>13</v>
      </c>
    </row>
    <row r="599" spans="2:9" x14ac:dyDescent="0.25">
      <c r="B599" s="2">
        <f t="shared" si="29"/>
        <v>2027</v>
      </c>
      <c r="C599" s="2" t="str">
        <f t="shared" si="28"/>
        <v>February</v>
      </c>
      <c r="D599" s="2" t="str">
        <f t="shared" si="30"/>
        <v>Thursday</v>
      </c>
      <c r="E599" s="4">
        <v>46436</v>
      </c>
      <c r="H599" s="3" t="str">
        <f>IF(OR(Table1[[#This Row],[US Holiday]]&lt;&gt;"", Table1[[#This Row],[India Holiday]]&lt;&gt;""), "Yes", "No")</f>
        <v>No</v>
      </c>
      <c r="I599" s="2">
        <f>IF(
  AND(
    WORKDAY(E599-1,1)=E599,
    _xlfn.CONCAT(F599:G599)=""
  ),
  _xlfn.MAXIFS(I$2:I598,C$2:C598,C599,B$2:B598,B599)+1,
  ""
)</f>
        <v>14</v>
      </c>
    </row>
    <row r="600" spans="2:9" x14ac:dyDescent="0.25">
      <c r="B600" s="2">
        <f t="shared" si="29"/>
        <v>2027</v>
      </c>
      <c r="C600" s="2" t="str">
        <f t="shared" si="28"/>
        <v>February</v>
      </c>
      <c r="D600" s="2" t="str">
        <f t="shared" si="30"/>
        <v>Friday</v>
      </c>
      <c r="E600" s="4">
        <v>46437</v>
      </c>
      <c r="H600" s="3" t="str">
        <f>IF(OR(Table1[[#This Row],[US Holiday]]&lt;&gt;"", Table1[[#This Row],[India Holiday]]&lt;&gt;""), "Yes", "No")</f>
        <v>No</v>
      </c>
      <c r="I600" s="2">
        <f>IF(
  AND(
    WORKDAY(E600-1,1)=E600,
    _xlfn.CONCAT(F600:G600)=""
  ),
  _xlfn.MAXIFS(I$2:I599,C$2:C599,C600,B$2:B599,B600)+1,
  ""
)</f>
        <v>15</v>
      </c>
    </row>
    <row r="601" spans="2:9" x14ac:dyDescent="0.25">
      <c r="B601" s="2">
        <f t="shared" si="29"/>
        <v>2027</v>
      </c>
      <c r="C601" s="2" t="str">
        <f t="shared" si="28"/>
        <v>February</v>
      </c>
      <c r="D601" s="2" t="str">
        <f t="shared" si="30"/>
        <v>Saturday</v>
      </c>
      <c r="E601" s="4">
        <v>46438</v>
      </c>
      <c r="H601" s="3" t="str">
        <f>IF(OR(Table1[[#This Row],[US Holiday]]&lt;&gt;"", Table1[[#This Row],[India Holiday]]&lt;&gt;""), "Yes", "No")</f>
        <v>No</v>
      </c>
      <c r="I601" s="2" t="str">
        <f>IF(
  AND(
    WORKDAY(E601-1,1)=E601,
    _xlfn.CONCAT(F601:G601)=""
  ),
  _xlfn.MAXIFS(I$2:I600,C$2:C600,C601,B$2:B600,B601)+1,
  ""
)</f>
        <v/>
      </c>
    </row>
    <row r="602" spans="2:9" x14ac:dyDescent="0.25">
      <c r="B602" s="2">
        <f t="shared" si="29"/>
        <v>2027</v>
      </c>
      <c r="C602" s="2" t="str">
        <f t="shared" si="28"/>
        <v>February</v>
      </c>
      <c r="D602" s="2" t="str">
        <f t="shared" si="30"/>
        <v>Sunday</v>
      </c>
      <c r="E602" s="4">
        <v>46439</v>
      </c>
      <c r="H602" s="3" t="str">
        <f>IF(OR(Table1[[#This Row],[US Holiday]]&lt;&gt;"", Table1[[#This Row],[India Holiday]]&lt;&gt;""), "Yes", "No")</f>
        <v>No</v>
      </c>
      <c r="I602" s="2" t="str">
        <f>IF(
  AND(
    WORKDAY(E602-1,1)=E602,
    _xlfn.CONCAT(F602:G602)=""
  ),
  _xlfn.MAXIFS(I$2:I601,C$2:C601,C602,B$2:B601,B602)+1,
  ""
)</f>
        <v/>
      </c>
    </row>
    <row r="603" spans="2:9" x14ac:dyDescent="0.25">
      <c r="B603" s="2">
        <f t="shared" si="29"/>
        <v>2027</v>
      </c>
      <c r="C603" s="2" t="str">
        <f t="shared" si="28"/>
        <v>February</v>
      </c>
      <c r="D603" s="2" t="str">
        <f t="shared" si="30"/>
        <v>Monday</v>
      </c>
      <c r="E603" s="4">
        <v>46440</v>
      </c>
      <c r="H603" s="3" t="str">
        <f>IF(OR(Table1[[#This Row],[US Holiday]]&lt;&gt;"", Table1[[#This Row],[India Holiday]]&lt;&gt;""), "Yes", "No")</f>
        <v>No</v>
      </c>
      <c r="I603" s="2">
        <f>IF(
  AND(
    WORKDAY(E603-1,1)=E603,
    _xlfn.CONCAT(F603:G603)=""
  ),
  _xlfn.MAXIFS(I$2:I602,C$2:C602,C603,B$2:B602,B603)+1,
  ""
)</f>
        <v>16</v>
      </c>
    </row>
    <row r="604" spans="2:9" x14ac:dyDescent="0.25">
      <c r="B604" s="2">
        <f t="shared" si="29"/>
        <v>2027</v>
      </c>
      <c r="C604" s="2" t="str">
        <f t="shared" si="28"/>
        <v>February</v>
      </c>
      <c r="D604" s="2" t="str">
        <f t="shared" si="30"/>
        <v>Tuesday</v>
      </c>
      <c r="E604" s="4">
        <v>46441</v>
      </c>
      <c r="H604" s="3" t="str">
        <f>IF(OR(Table1[[#This Row],[US Holiday]]&lt;&gt;"", Table1[[#This Row],[India Holiday]]&lt;&gt;""), "Yes", "No")</f>
        <v>No</v>
      </c>
      <c r="I604" s="2">
        <f>IF(
  AND(
    WORKDAY(E604-1,1)=E604,
    _xlfn.CONCAT(F604:G604)=""
  ),
  _xlfn.MAXIFS(I$2:I603,C$2:C603,C604,B$2:B603,B604)+1,
  ""
)</f>
        <v>17</v>
      </c>
    </row>
    <row r="605" spans="2:9" x14ac:dyDescent="0.25">
      <c r="B605" s="2">
        <f t="shared" si="29"/>
        <v>2027</v>
      </c>
      <c r="C605" s="2" t="str">
        <f t="shared" si="28"/>
        <v>February</v>
      </c>
      <c r="D605" s="2" t="str">
        <f t="shared" si="30"/>
        <v>Wednesday</v>
      </c>
      <c r="E605" s="4">
        <v>46442</v>
      </c>
      <c r="H605" s="3" t="str">
        <f>IF(OR(Table1[[#This Row],[US Holiday]]&lt;&gt;"", Table1[[#This Row],[India Holiday]]&lt;&gt;""), "Yes", "No")</f>
        <v>No</v>
      </c>
      <c r="I605" s="2">
        <f>IF(
  AND(
    WORKDAY(E605-1,1)=E605,
    _xlfn.CONCAT(F605:G605)=""
  ),
  _xlfn.MAXIFS(I$2:I604,C$2:C604,C605,B$2:B604,B605)+1,
  ""
)</f>
        <v>18</v>
      </c>
    </row>
    <row r="606" spans="2:9" x14ac:dyDescent="0.25">
      <c r="B606" s="2">
        <f t="shared" si="29"/>
        <v>2027</v>
      </c>
      <c r="C606" s="2" t="str">
        <f t="shared" si="28"/>
        <v>February</v>
      </c>
      <c r="D606" s="2" t="str">
        <f t="shared" si="30"/>
        <v>Thursday</v>
      </c>
      <c r="E606" s="4">
        <v>46443</v>
      </c>
      <c r="H606" s="3" t="str">
        <f>IF(OR(Table1[[#This Row],[US Holiday]]&lt;&gt;"", Table1[[#This Row],[India Holiday]]&lt;&gt;""), "Yes", "No")</f>
        <v>No</v>
      </c>
      <c r="I606" s="2">
        <f>IF(
  AND(
    WORKDAY(E606-1,1)=E606,
    _xlfn.CONCAT(F606:G606)=""
  ),
  _xlfn.MAXIFS(I$2:I605,C$2:C605,C606,B$2:B605,B606)+1,
  ""
)</f>
        <v>19</v>
      </c>
    </row>
    <row r="607" spans="2:9" x14ac:dyDescent="0.25">
      <c r="B607" s="2">
        <f t="shared" si="29"/>
        <v>2027</v>
      </c>
      <c r="C607" s="2" t="str">
        <f t="shared" si="28"/>
        <v>February</v>
      </c>
      <c r="D607" s="2" t="str">
        <f t="shared" si="30"/>
        <v>Friday</v>
      </c>
      <c r="E607" s="4">
        <v>46444</v>
      </c>
      <c r="H607" s="3" t="str">
        <f>IF(OR(Table1[[#This Row],[US Holiday]]&lt;&gt;"", Table1[[#This Row],[India Holiday]]&lt;&gt;""), "Yes", "No")</f>
        <v>No</v>
      </c>
      <c r="I607" s="2">
        <f>IF(
  AND(
    WORKDAY(E607-1,1)=E607,
    _xlfn.CONCAT(F607:G607)=""
  ),
  _xlfn.MAXIFS(I$2:I606,C$2:C606,C607,B$2:B606,B607)+1,
  ""
)</f>
        <v>20</v>
      </c>
    </row>
    <row r="608" spans="2:9" x14ac:dyDescent="0.25">
      <c r="B608" s="2">
        <f t="shared" si="29"/>
        <v>2027</v>
      </c>
      <c r="C608" s="2" t="str">
        <f t="shared" si="28"/>
        <v>February</v>
      </c>
      <c r="D608" s="2" t="str">
        <f t="shared" si="30"/>
        <v>Saturday</v>
      </c>
      <c r="E608" s="4">
        <v>46445</v>
      </c>
      <c r="H608" s="3" t="str">
        <f>IF(OR(Table1[[#This Row],[US Holiday]]&lt;&gt;"", Table1[[#This Row],[India Holiday]]&lt;&gt;""), "Yes", "No")</f>
        <v>No</v>
      </c>
      <c r="I608" s="2" t="str">
        <f>IF(
  AND(
    WORKDAY(E608-1,1)=E608,
    _xlfn.CONCAT(F608:G608)=""
  ),
  _xlfn.MAXIFS(I$2:I607,C$2:C607,C608,B$2:B607,B608)+1,
  ""
)</f>
        <v/>
      </c>
    </row>
    <row r="609" spans="2:9" x14ac:dyDescent="0.25">
      <c r="B609" s="2">
        <f t="shared" si="29"/>
        <v>2027</v>
      </c>
      <c r="C609" s="2" t="str">
        <f t="shared" si="28"/>
        <v>February</v>
      </c>
      <c r="D609" s="2" t="str">
        <f t="shared" si="30"/>
        <v>Sunday</v>
      </c>
      <c r="E609" s="4">
        <v>46446</v>
      </c>
      <c r="H609" s="3" t="str">
        <f>IF(OR(Table1[[#This Row],[US Holiday]]&lt;&gt;"", Table1[[#This Row],[India Holiday]]&lt;&gt;""), "Yes", "No")</f>
        <v>No</v>
      </c>
      <c r="I609" s="2" t="str">
        <f>IF(
  AND(
    WORKDAY(E609-1,1)=E609,
    _xlfn.CONCAT(F609:G609)=""
  ),
  _xlfn.MAXIFS(I$2:I608,C$2:C608,C609,B$2:B608,B609)+1,
  ""
)</f>
        <v/>
      </c>
    </row>
    <row r="610" spans="2:9" x14ac:dyDescent="0.25">
      <c r="B610" s="2">
        <f t="shared" si="29"/>
        <v>2027</v>
      </c>
      <c r="C610" s="2" t="str">
        <f t="shared" si="28"/>
        <v>March</v>
      </c>
      <c r="D610" s="2" t="str">
        <f t="shared" si="30"/>
        <v>Monday</v>
      </c>
      <c r="E610" s="4">
        <v>46447</v>
      </c>
      <c r="H610" s="3" t="str">
        <f>IF(OR(Table1[[#This Row],[US Holiday]]&lt;&gt;"", Table1[[#This Row],[India Holiday]]&lt;&gt;""), "Yes", "No")</f>
        <v>No</v>
      </c>
      <c r="I610" s="2">
        <f>IF(
  AND(
    WORKDAY(E610-1,1)=E610,
    _xlfn.CONCAT(F610:G610)=""
  ),
  _xlfn.MAXIFS(I$2:I609,C$2:C609,C610,B$2:B609,B610)+1,
  ""
)</f>
        <v>1</v>
      </c>
    </row>
    <row r="611" spans="2:9" x14ac:dyDescent="0.25">
      <c r="B611" s="2">
        <f t="shared" si="29"/>
        <v>2027</v>
      </c>
      <c r="C611" s="2" t="str">
        <f t="shared" si="28"/>
        <v>March</v>
      </c>
      <c r="D611" s="2" t="str">
        <f t="shared" si="30"/>
        <v>Tuesday</v>
      </c>
      <c r="E611" s="4">
        <v>46448</v>
      </c>
      <c r="H611" s="3" t="str">
        <f>IF(OR(Table1[[#This Row],[US Holiday]]&lt;&gt;"", Table1[[#This Row],[India Holiday]]&lt;&gt;""), "Yes", "No")</f>
        <v>No</v>
      </c>
      <c r="I611" s="2">
        <f>IF(
  AND(
    WORKDAY(E611-1,1)=E611,
    _xlfn.CONCAT(F611:G611)=""
  ),
  _xlfn.MAXIFS(I$2:I610,C$2:C610,C611,B$2:B610,B611)+1,
  ""
)</f>
        <v>2</v>
      </c>
    </row>
    <row r="612" spans="2:9" x14ac:dyDescent="0.25">
      <c r="B612" s="2">
        <f t="shared" si="29"/>
        <v>2027</v>
      </c>
      <c r="C612" s="2" t="str">
        <f t="shared" si="28"/>
        <v>March</v>
      </c>
      <c r="D612" s="2" t="str">
        <f t="shared" si="30"/>
        <v>Wednesday</v>
      </c>
      <c r="E612" s="4">
        <v>46449</v>
      </c>
      <c r="H612" s="3" t="str">
        <f>IF(OR(Table1[[#This Row],[US Holiday]]&lt;&gt;"", Table1[[#This Row],[India Holiday]]&lt;&gt;""), "Yes", "No")</f>
        <v>No</v>
      </c>
      <c r="I612" s="2">
        <f>IF(
  AND(
    WORKDAY(E612-1,1)=E612,
    _xlfn.CONCAT(F612:G612)=""
  ),
  _xlfn.MAXIFS(I$2:I611,C$2:C611,C612,B$2:B611,B612)+1,
  ""
)</f>
        <v>3</v>
      </c>
    </row>
    <row r="613" spans="2:9" x14ac:dyDescent="0.25">
      <c r="B613" s="2">
        <f t="shared" si="29"/>
        <v>2027</v>
      </c>
      <c r="C613" s="2" t="str">
        <f t="shared" si="28"/>
        <v>March</v>
      </c>
      <c r="D613" s="2" t="str">
        <f t="shared" si="30"/>
        <v>Thursday</v>
      </c>
      <c r="E613" s="4">
        <v>46450</v>
      </c>
      <c r="H613" s="3" t="str">
        <f>IF(OR(Table1[[#This Row],[US Holiday]]&lt;&gt;"", Table1[[#This Row],[India Holiday]]&lt;&gt;""), "Yes", "No")</f>
        <v>No</v>
      </c>
      <c r="I613" s="2">
        <f>IF(
  AND(
    WORKDAY(E613-1,1)=E613,
    _xlfn.CONCAT(F613:G613)=""
  ),
  _xlfn.MAXIFS(I$2:I612,C$2:C612,C613,B$2:B612,B613)+1,
  ""
)</f>
        <v>4</v>
      </c>
    </row>
    <row r="614" spans="2:9" x14ac:dyDescent="0.25">
      <c r="B614" s="2">
        <f t="shared" si="29"/>
        <v>2027</v>
      </c>
      <c r="C614" s="2" t="str">
        <f t="shared" si="28"/>
        <v>March</v>
      </c>
      <c r="D614" s="2" t="str">
        <f t="shared" si="30"/>
        <v>Friday</v>
      </c>
      <c r="E614" s="4">
        <v>46451</v>
      </c>
      <c r="H614" s="3" t="str">
        <f>IF(OR(Table1[[#This Row],[US Holiday]]&lt;&gt;"", Table1[[#This Row],[India Holiday]]&lt;&gt;""), "Yes", "No")</f>
        <v>No</v>
      </c>
      <c r="I614" s="2">
        <f>IF(
  AND(
    WORKDAY(E614-1,1)=E614,
    _xlfn.CONCAT(F614:G614)=""
  ),
  _xlfn.MAXIFS(I$2:I613,C$2:C613,C614,B$2:B613,B614)+1,
  ""
)</f>
        <v>5</v>
      </c>
    </row>
    <row r="615" spans="2:9" x14ac:dyDescent="0.25">
      <c r="B615" s="2">
        <f t="shared" si="29"/>
        <v>2027</v>
      </c>
      <c r="C615" s="2" t="str">
        <f t="shared" si="28"/>
        <v>March</v>
      </c>
      <c r="D615" s="2" t="str">
        <f t="shared" si="30"/>
        <v>Saturday</v>
      </c>
      <c r="E615" s="4">
        <v>46452</v>
      </c>
      <c r="H615" s="3" t="str">
        <f>IF(OR(Table1[[#This Row],[US Holiday]]&lt;&gt;"", Table1[[#This Row],[India Holiday]]&lt;&gt;""), "Yes", "No")</f>
        <v>No</v>
      </c>
      <c r="I615" s="2" t="str">
        <f>IF(
  AND(
    WORKDAY(E615-1,1)=E615,
    _xlfn.CONCAT(F615:G615)=""
  ),
  _xlfn.MAXIFS(I$2:I614,C$2:C614,C615,B$2:B614,B615)+1,
  ""
)</f>
        <v/>
      </c>
    </row>
    <row r="616" spans="2:9" x14ac:dyDescent="0.25">
      <c r="B616" s="2">
        <f t="shared" si="29"/>
        <v>2027</v>
      </c>
      <c r="C616" s="2" t="str">
        <f t="shared" si="28"/>
        <v>March</v>
      </c>
      <c r="D616" s="2" t="str">
        <f t="shared" si="30"/>
        <v>Sunday</v>
      </c>
      <c r="E616" s="4">
        <v>46453</v>
      </c>
      <c r="H616" s="3" t="str">
        <f>IF(OR(Table1[[#This Row],[US Holiday]]&lt;&gt;"", Table1[[#This Row],[India Holiday]]&lt;&gt;""), "Yes", "No")</f>
        <v>No</v>
      </c>
      <c r="I616" s="2" t="str">
        <f>IF(
  AND(
    WORKDAY(E616-1,1)=E616,
    _xlfn.CONCAT(F616:G616)=""
  ),
  _xlfn.MAXIFS(I$2:I615,C$2:C615,C616,B$2:B615,B616)+1,
  ""
)</f>
        <v/>
      </c>
    </row>
    <row r="617" spans="2:9" x14ac:dyDescent="0.25">
      <c r="B617" s="2">
        <f t="shared" si="29"/>
        <v>2027</v>
      </c>
      <c r="C617" s="2" t="str">
        <f t="shared" si="28"/>
        <v>March</v>
      </c>
      <c r="D617" s="2" t="str">
        <f t="shared" si="30"/>
        <v>Monday</v>
      </c>
      <c r="E617" s="4">
        <v>46454</v>
      </c>
      <c r="H617" s="3" t="str">
        <f>IF(OR(Table1[[#This Row],[US Holiday]]&lt;&gt;"", Table1[[#This Row],[India Holiday]]&lt;&gt;""), "Yes", "No")</f>
        <v>No</v>
      </c>
      <c r="I617" s="2">
        <f>IF(
  AND(
    WORKDAY(E617-1,1)=E617,
    _xlfn.CONCAT(F617:G617)=""
  ),
  _xlfn.MAXIFS(I$2:I616,C$2:C616,C617,B$2:B616,B617)+1,
  ""
)</f>
        <v>6</v>
      </c>
    </row>
    <row r="618" spans="2:9" x14ac:dyDescent="0.25">
      <c r="B618" s="2">
        <f t="shared" si="29"/>
        <v>2027</v>
      </c>
      <c r="C618" s="2" t="str">
        <f t="shared" si="28"/>
        <v>March</v>
      </c>
      <c r="D618" s="2" t="str">
        <f t="shared" si="30"/>
        <v>Tuesday</v>
      </c>
      <c r="E618" s="4">
        <v>46455</v>
      </c>
      <c r="H618" s="3" t="str">
        <f>IF(OR(Table1[[#This Row],[US Holiday]]&lt;&gt;"", Table1[[#This Row],[India Holiday]]&lt;&gt;""), "Yes", "No")</f>
        <v>No</v>
      </c>
      <c r="I618" s="2">
        <f>IF(
  AND(
    WORKDAY(E618-1,1)=E618,
    _xlfn.CONCAT(F618:G618)=""
  ),
  _xlfn.MAXIFS(I$2:I617,C$2:C617,C618,B$2:B617,B618)+1,
  ""
)</f>
        <v>7</v>
      </c>
    </row>
    <row r="619" spans="2:9" x14ac:dyDescent="0.25">
      <c r="B619" s="2">
        <f t="shared" si="29"/>
        <v>2027</v>
      </c>
      <c r="C619" s="2" t="str">
        <f t="shared" si="28"/>
        <v>March</v>
      </c>
      <c r="D619" s="2" t="str">
        <f t="shared" si="30"/>
        <v>Wednesday</v>
      </c>
      <c r="E619" s="4">
        <v>46456</v>
      </c>
      <c r="H619" s="3" t="str">
        <f>IF(OR(Table1[[#This Row],[US Holiday]]&lt;&gt;"", Table1[[#This Row],[India Holiday]]&lt;&gt;""), "Yes", "No")</f>
        <v>No</v>
      </c>
      <c r="I619" s="2">
        <f>IF(
  AND(
    WORKDAY(E619-1,1)=E619,
    _xlfn.CONCAT(F619:G619)=""
  ),
  _xlfn.MAXIFS(I$2:I618,C$2:C618,C619,B$2:B618,B619)+1,
  ""
)</f>
        <v>8</v>
      </c>
    </row>
    <row r="620" spans="2:9" x14ac:dyDescent="0.25">
      <c r="B620" s="2">
        <f t="shared" si="29"/>
        <v>2027</v>
      </c>
      <c r="C620" s="2" t="str">
        <f t="shared" si="28"/>
        <v>March</v>
      </c>
      <c r="D620" s="2" t="str">
        <f t="shared" si="30"/>
        <v>Thursday</v>
      </c>
      <c r="E620" s="4">
        <v>46457</v>
      </c>
      <c r="H620" s="3" t="str">
        <f>IF(OR(Table1[[#This Row],[US Holiday]]&lt;&gt;"", Table1[[#This Row],[India Holiday]]&lt;&gt;""), "Yes", "No")</f>
        <v>No</v>
      </c>
      <c r="I620" s="2">
        <f>IF(
  AND(
    WORKDAY(E620-1,1)=E620,
    _xlfn.CONCAT(F620:G620)=""
  ),
  _xlfn.MAXIFS(I$2:I619,C$2:C619,C620,B$2:B619,B620)+1,
  ""
)</f>
        <v>9</v>
      </c>
    </row>
    <row r="621" spans="2:9" x14ac:dyDescent="0.25">
      <c r="B621" s="2">
        <f t="shared" si="29"/>
        <v>2027</v>
      </c>
      <c r="C621" s="2" t="str">
        <f t="shared" si="28"/>
        <v>March</v>
      </c>
      <c r="D621" s="2" t="str">
        <f t="shared" si="30"/>
        <v>Friday</v>
      </c>
      <c r="E621" s="4">
        <v>46458</v>
      </c>
      <c r="H621" s="3" t="str">
        <f>IF(OR(Table1[[#This Row],[US Holiday]]&lt;&gt;"", Table1[[#This Row],[India Holiday]]&lt;&gt;""), "Yes", "No")</f>
        <v>No</v>
      </c>
      <c r="I621" s="2">
        <f>IF(
  AND(
    WORKDAY(E621-1,1)=E621,
    _xlfn.CONCAT(F621:G621)=""
  ),
  _xlfn.MAXIFS(I$2:I620,C$2:C620,C621,B$2:B620,B621)+1,
  ""
)</f>
        <v>10</v>
      </c>
    </row>
    <row r="622" spans="2:9" x14ac:dyDescent="0.25">
      <c r="B622" s="2">
        <f t="shared" si="29"/>
        <v>2027</v>
      </c>
      <c r="C622" s="2" t="str">
        <f t="shared" si="28"/>
        <v>March</v>
      </c>
      <c r="D622" s="2" t="str">
        <f t="shared" si="30"/>
        <v>Saturday</v>
      </c>
      <c r="E622" s="4">
        <v>46459</v>
      </c>
      <c r="H622" s="3" t="str">
        <f>IF(OR(Table1[[#This Row],[US Holiday]]&lt;&gt;"", Table1[[#This Row],[India Holiday]]&lt;&gt;""), "Yes", "No")</f>
        <v>No</v>
      </c>
      <c r="I622" s="2" t="str">
        <f>IF(
  AND(
    WORKDAY(E622-1,1)=E622,
    _xlfn.CONCAT(F622:G622)=""
  ),
  _xlfn.MAXIFS(I$2:I621,C$2:C621,C622,B$2:B621,B622)+1,
  ""
)</f>
        <v/>
      </c>
    </row>
    <row r="623" spans="2:9" x14ac:dyDescent="0.25">
      <c r="B623" s="2">
        <f t="shared" si="29"/>
        <v>2027</v>
      </c>
      <c r="C623" s="2" t="str">
        <f t="shared" si="28"/>
        <v>March</v>
      </c>
      <c r="D623" s="2" t="str">
        <f t="shared" si="30"/>
        <v>Sunday</v>
      </c>
      <c r="E623" s="4">
        <v>46460</v>
      </c>
      <c r="H623" s="3" t="str">
        <f>IF(OR(Table1[[#This Row],[US Holiday]]&lt;&gt;"", Table1[[#This Row],[India Holiday]]&lt;&gt;""), "Yes", "No")</f>
        <v>No</v>
      </c>
      <c r="I623" s="2" t="str">
        <f>IF(
  AND(
    WORKDAY(E623-1,1)=E623,
    _xlfn.CONCAT(F623:G623)=""
  ),
  _xlfn.MAXIFS(I$2:I622,C$2:C622,C623,B$2:B622,B623)+1,
  ""
)</f>
        <v/>
      </c>
    </row>
    <row r="624" spans="2:9" x14ac:dyDescent="0.25">
      <c r="B624" s="2">
        <f t="shared" si="29"/>
        <v>2027</v>
      </c>
      <c r="C624" s="2" t="str">
        <f t="shared" si="28"/>
        <v>March</v>
      </c>
      <c r="D624" s="2" t="str">
        <f t="shared" si="30"/>
        <v>Monday</v>
      </c>
      <c r="E624" s="4">
        <v>46461</v>
      </c>
      <c r="H624" s="3" t="str">
        <f>IF(OR(Table1[[#This Row],[US Holiday]]&lt;&gt;"", Table1[[#This Row],[India Holiday]]&lt;&gt;""), "Yes", "No")</f>
        <v>No</v>
      </c>
      <c r="I624" s="2">
        <f>IF(
  AND(
    WORKDAY(E624-1,1)=E624,
    _xlfn.CONCAT(F624:G624)=""
  ),
  _xlfn.MAXIFS(I$2:I623,C$2:C623,C624,B$2:B623,B624)+1,
  ""
)</f>
        <v>11</v>
      </c>
    </row>
    <row r="625" spans="2:9" x14ac:dyDescent="0.25">
      <c r="B625" s="2">
        <f t="shared" si="29"/>
        <v>2027</v>
      </c>
      <c r="C625" s="2" t="str">
        <f t="shared" si="28"/>
        <v>March</v>
      </c>
      <c r="D625" s="2" t="str">
        <f t="shared" si="30"/>
        <v>Tuesday</v>
      </c>
      <c r="E625" s="4">
        <v>46462</v>
      </c>
      <c r="H625" s="3" t="str">
        <f>IF(OR(Table1[[#This Row],[US Holiday]]&lt;&gt;"", Table1[[#This Row],[India Holiday]]&lt;&gt;""), "Yes", "No")</f>
        <v>No</v>
      </c>
      <c r="I625" s="2">
        <f>IF(
  AND(
    WORKDAY(E625-1,1)=E625,
    _xlfn.CONCAT(F625:G625)=""
  ),
  _xlfn.MAXIFS(I$2:I624,C$2:C624,C625,B$2:B624,B625)+1,
  ""
)</f>
        <v>12</v>
      </c>
    </row>
    <row r="626" spans="2:9" x14ac:dyDescent="0.25">
      <c r="B626" s="2">
        <f t="shared" si="29"/>
        <v>2027</v>
      </c>
      <c r="C626" s="2" t="str">
        <f t="shared" si="28"/>
        <v>March</v>
      </c>
      <c r="D626" s="2" t="str">
        <f t="shared" si="30"/>
        <v>Wednesday</v>
      </c>
      <c r="E626" s="4">
        <v>46463</v>
      </c>
      <c r="H626" s="3" t="str">
        <f>IF(OR(Table1[[#This Row],[US Holiday]]&lt;&gt;"", Table1[[#This Row],[India Holiday]]&lt;&gt;""), "Yes", "No")</f>
        <v>No</v>
      </c>
      <c r="I626" s="2">
        <f>IF(
  AND(
    WORKDAY(E626-1,1)=E626,
    _xlfn.CONCAT(F626:G626)=""
  ),
  _xlfn.MAXIFS(I$2:I625,C$2:C625,C626,B$2:B625,B626)+1,
  ""
)</f>
        <v>13</v>
      </c>
    </row>
    <row r="627" spans="2:9" x14ac:dyDescent="0.25">
      <c r="B627" s="2">
        <f t="shared" si="29"/>
        <v>2027</v>
      </c>
      <c r="C627" s="2" t="str">
        <f t="shared" si="28"/>
        <v>March</v>
      </c>
      <c r="D627" s="2" t="str">
        <f t="shared" si="30"/>
        <v>Thursday</v>
      </c>
      <c r="E627" s="4">
        <v>46464</v>
      </c>
      <c r="H627" s="3" t="str">
        <f>IF(OR(Table1[[#This Row],[US Holiday]]&lt;&gt;"", Table1[[#This Row],[India Holiday]]&lt;&gt;""), "Yes", "No")</f>
        <v>No</v>
      </c>
      <c r="I627" s="2">
        <f>IF(
  AND(
    WORKDAY(E627-1,1)=E627,
    _xlfn.CONCAT(F627:G627)=""
  ),
  _xlfn.MAXIFS(I$2:I626,C$2:C626,C627,B$2:B626,B627)+1,
  ""
)</f>
        <v>14</v>
      </c>
    </row>
    <row r="628" spans="2:9" x14ac:dyDescent="0.25">
      <c r="B628" s="2">
        <f t="shared" si="29"/>
        <v>2027</v>
      </c>
      <c r="C628" s="2" t="str">
        <f t="shared" si="28"/>
        <v>March</v>
      </c>
      <c r="D628" s="2" t="str">
        <f t="shared" si="30"/>
        <v>Friday</v>
      </c>
      <c r="E628" s="4">
        <v>46465</v>
      </c>
      <c r="H628" s="3" t="str">
        <f>IF(OR(Table1[[#This Row],[US Holiday]]&lt;&gt;"", Table1[[#This Row],[India Holiday]]&lt;&gt;""), "Yes", "No")</f>
        <v>No</v>
      </c>
      <c r="I628" s="2">
        <f>IF(
  AND(
    WORKDAY(E628-1,1)=E628,
    _xlfn.CONCAT(F628:G628)=""
  ),
  _xlfn.MAXIFS(I$2:I627,C$2:C627,C628,B$2:B627,B628)+1,
  ""
)</f>
        <v>15</v>
      </c>
    </row>
    <row r="629" spans="2:9" x14ac:dyDescent="0.25">
      <c r="B629" s="2">
        <f t="shared" si="29"/>
        <v>2027</v>
      </c>
      <c r="C629" s="2" t="str">
        <f t="shared" si="28"/>
        <v>March</v>
      </c>
      <c r="D629" s="2" t="str">
        <f t="shared" si="30"/>
        <v>Saturday</v>
      </c>
      <c r="E629" s="4">
        <v>46466</v>
      </c>
      <c r="H629" s="3" t="str">
        <f>IF(OR(Table1[[#This Row],[US Holiday]]&lt;&gt;"", Table1[[#This Row],[India Holiday]]&lt;&gt;""), "Yes", "No")</f>
        <v>No</v>
      </c>
      <c r="I629" s="2" t="str">
        <f>IF(
  AND(
    WORKDAY(E629-1,1)=E629,
    _xlfn.CONCAT(F629:G629)=""
  ),
  _xlfn.MAXIFS(I$2:I628,C$2:C628,C629,B$2:B628,B629)+1,
  ""
)</f>
        <v/>
      </c>
    </row>
    <row r="630" spans="2:9" x14ac:dyDescent="0.25">
      <c r="B630" s="2">
        <f t="shared" si="29"/>
        <v>2027</v>
      </c>
      <c r="C630" s="2" t="str">
        <f t="shared" si="28"/>
        <v>March</v>
      </c>
      <c r="D630" s="2" t="str">
        <f t="shared" si="30"/>
        <v>Sunday</v>
      </c>
      <c r="E630" s="4">
        <v>46467</v>
      </c>
      <c r="H630" s="3" t="str">
        <f>IF(OR(Table1[[#This Row],[US Holiday]]&lt;&gt;"", Table1[[#This Row],[India Holiday]]&lt;&gt;""), "Yes", "No")</f>
        <v>No</v>
      </c>
      <c r="I630" s="2" t="str">
        <f>IF(
  AND(
    WORKDAY(E630-1,1)=E630,
    _xlfn.CONCAT(F630:G630)=""
  ),
  _xlfn.MAXIFS(I$2:I629,C$2:C629,C630,B$2:B629,B630)+1,
  ""
)</f>
        <v/>
      </c>
    </row>
    <row r="631" spans="2:9" x14ac:dyDescent="0.25">
      <c r="B631" s="2">
        <f t="shared" si="29"/>
        <v>2027</v>
      </c>
      <c r="C631" s="2" t="str">
        <f t="shared" si="28"/>
        <v>March</v>
      </c>
      <c r="D631" s="2" t="str">
        <f t="shared" si="30"/>
        <v>Monday</v>
      </c>
      <c r="E631" s="4">
        <v>46468</v>
      </c>
      <c r="H631" s="3" t="str">
        <f>IF(OR(Table1[[#This Row],[US Holiday]]&lt;&gt;"", Table1[[#This Row],[India Holiday]]&lt;&gt;""), "Yes", "No")</f>
        <v>No</v>
      </c>
      <c r="I631" s="2">
        <f>IF(
  AND(
    WORKDAY(E631-1,1)=E631,
    _xlfn.CONCAT(F631:G631)=""
  ),
  _xlfn.MAXIFS(I$2:I630,C$2:C630,C631,B$2:B630,B631)+1,
  ""
)</f>
        <v>16</v>
      </c>
    </row>
    <row r="632" spans="2:9" x14ac:dyDescent="0.25">
      <c r="B632" s="2">
        <f t="shared" si="29"/>
        <v>2027</v>
      </c>
      <c r="C632" s="2" t="str">
        <f t="shared" si="28"/>
        <v>March</v>
      </c>
      <c r="D632" s="2" t="str">
        <f t="shared" si="30"/>
        <v>Tuesday</v>
      </c>
      <c r="E632" s="4">
        <v>46469</v>
      </c>
      <c r="H632" s="3" t="str">
        <f>IF(OR(Table1[[#This Row],[US Holiday]]&lt;&gt;"", Table1[[#This Row],[India Holiday]]&lt;&gt;""), "Yes", "No")</f>
        <v>No</v>
      </c>
      <c r="I632" s="2">
        <f>IF(
  AND(
    WORKDAY(E632-1,1)=E632,
    _xlfn.CONCAT(F632:G632)=""
  ),
  _xlfn.MAXIFS(I$2:I631,C$2:C631,C632,B$2:B631,B632)+1,
  ""
)</f>
        <v>17</v>
      </c>
    </row>
    <row r="633" spans="2:9" x14ac:dyDescent="0.25">
      <c r="B633" s="2">
        <f t="shared" si="29"/>
        <v>2027</v>
      </c>
      <c r="C633" s="2" t="str">
        <f t="shared" si="28"/>
        <v>March</v>
      </c>
      <c r="D633" s="2" t="str">
        <f t="shared" si="30"/>
        <v>Wednesday</v>
      </c>
      <c r="E633" s="4">
        <v>46470</v>
      </c>
      <c r="H633" s="3" t="str">
        <f>IF(OR(Table1[[#This Row],[US Holiday]]&lt;&gt;"", Table1[[#This Row],[India Holiday]]&lt;&gt;""), "Yes", "No")</f>
        <v>No</v>
      </c>
      <c r="I633" s="2">
        <f>IF(
  AND(
    WORKDAY(E633-1,1)=E633,
    _xlfn.CONCAT(F633:G633)=""
  ),
  _xlfn.MAXIFS(I$2:I632,C$2:C632,C633,B$2:B632,B633)+1,
  ""
)</f>
        <v>18</v>
      </c>
    </row>
    <row r="634" spans="2:9" x14ac:dyDescent="0.25">
      <c r="B634" s="2">
        <f t="shared" si="29"/>
        <v>2027</v>
      </c>
      <c r="C634" s="2" t="str">
        <f t="shared" si="28"/>
        <v>March</v>
      </c>
      <c r="D634" s="2" t="str">
        <f t="shared" si="30"/>
        <v>Thursday</v>
      </c>
      <c r="E634" s="4">
        <v>46471</v>
      </c>
      <c r="H634" s="3" t="str">
        <f>IF(OR(Table1[[#This Row],[US Holiday]]&lt;&gt;"", Table1[[#This Row],[India Holiday]]&lt;&gt;""), "Yes", "No")</f>
        <v>No</v>
      </c>
      <c r="I634" s="2">
        <f>IF(
  AND(
    WORKDAY(E634-1,1)=E634,
    _xlfn.CONCAT(F634:G634)=""
  ),
  _xlfn.MAXIFS(I$2:I633,C$2:C633,C634,B$2:B633,B634)+1,
  ""
)</f>
        <v>19</v>
      </c>
    </row>
    <row r="635" spans="2:9" x14ac:dyDescent="0.25">
      <c r="B635" s="2">
        <f t="shared" si="29"/>
        <v>2027</v>
      </c>
      <c r="C635" s="2" t="str">
        <f t="shared" si="28"/>
        <v>March</v>
      </c>
      <c r="D635" s="2" t="str">
        <f t="shared" si="30"/>
        <v>Friday</v>
      </c>
      <c r="E635" s="4">
        <v>46472</v>
      </c>
      <c r="H635" s="3" t="str">
        <f>IF(OR(Table1[[#This Row],[US Holiday]]&lt;&gt;"", Table1[[#This Row],[India Holiday]]&lt;&gt;""), "Yes", "No")</f>
        <v>No</v>
      </c>
      <c r="I635" s="2">
        <f>IF(
  AND(
    WORKDAY(E635-1,1)=E635,
    _xlfn.CONCAT(F635:G635)=""
  ),
  _xlfn.MAXIFS(I$2:I634,C$2:C634,C635,B$2:B634,B635)+1,
  ""
)</f>
        <v>20</v>
      </c>
    </row>
    <row r="636" spans="2:9" x14ac:dyDescent="0.25">
      <c r="B636" s="2">
        <f t="shared" si="29"/>
        <v>2027</v>
      </c>
      <c r="C636" s="2" t="str">
        <f t="shared" si="28"/>
        <v>March</v>
      </c>
      <c r="D636" s="2" t="str">
        <f t="shared" si="30"/>
        <v>Saturday</v>
      </c>
      <c r="E636" s="4">
        <v>46473</v>
      </c>
      <c r="H636" s="3" t="str">
        <f>IF(OR(Table1[[#This Row],[US Holiday]]&lt;&gt;"", Table1[[#This Row],[India Holiday]]&lt;&gt;""), "Yes", "No")</f>
        <v>No</v>
      </c>
      <c r="I636" s="2" t="str">
        <f>IF(
  AND(
    WORKDAY(E636-1,1)=E636,
    _xlfn.CONCAT(F636:G636)=""
  ),
  _xlfn.MAXIFS(I$2:I635,C$2:C635,C636,B$2:B635,B636)+1,
  ""
)</f>
        <v/>
      </c>
    </row>
    <row r="637" spans="2:9" x14ac:dyDescent="0.25">
      <c r="B637" s="2">
        <f t="shared" si="29"/>
        <v>2027</v>
      </c>
      <c r="C637" s="2" t="str">
        <f t="shared" si="28"/>
        <v>March</v>
      </c>
      <c r="D637" s="2" t="str">
        <f t="shared" si="30"/>
        <v>Sunday</v>
      </c>
      <c r="E637" s="4">
        <v>46474</v>
      </c>
      <c r="H637" s="3" t="str">
        <f>IF(OR(Table1[[#This Row],[US Holiday]]&lt;&gt;"", Table1[[#This Row],[India Holiday]]&lt;&gt;""), "Yes", "No")</f>
        <v>No</v>
      </c>
      <c r="I637" s="2" t="str">
        <f>IF(
  AND(
    WORKDAY(E637-1,1)=E637,
    _xlfn.CONCAT(F637:G637)=""
  ),
  _xlfn.MAXIFS(I$2:I636,C$2:C636,C637,B$2:B636,B637)+1,
  ""
)</f>
        <v/>
      </c>
    </row>
    <row r="638" spans="2:9" x14ac:dyDescent="0.25">
      <c r="B638" s="2">
        <f t="shared" si="29"/>
        <v>2027</v>
      </c>
      <c r="C638" s="2" t="str">
        <f t="shared" si="28"/>
        <v>March</v>
      </c>
      <c r="D638" s="2" t="str">
        <f t="shared" si="30"/>
        <v>Monday</v>
      </c>
      <c r="E638" s="4">
        <v>46475</v>
      </c>
      <c r="H638" s="3" t="str">
        <f>IF(OR(Table1[[#This Row],[US Holiday]]&lt;&gt;"", Table1[[#This Row],[India Holiday]]&lt;&gt;""), "Yes", "No")</f>
        <v>No</v>
      </c>
      <c r="I638" s="2">
        <f>IF(
  AND(
    WORKDAY(E638-1,1)=E638,
    _xlfn.CONCAT(F638:G638)=""
  ),
  _xlfn.MAXIFS(I$2:I637,C$2:C637,C638,B$2:B637,B638)+1,
  ""
)</f>
        <v>21</v>
      </c>
    </row>
    <row r="639" spans="2:9" x14ac:dyDescent="0.25">
      <c r="B639" s="2">
        <f t="shared" si="29"/>
        <v>2027</v>
      </c>
      <c r="C639" s="2" t="str">
        <f t="shared" si="28"/>
        <v>March</v>
      </c>
      <c r="D639" s="2" t="str">
        <f t="shared" si="30"/>
        <v>Tuesday</v>
      </c>
      <c r="E639" s="4">
        <v>46476</v>
      </c>
      <c r="H639" s="3" t="str">
        <f>IF(OR(Table1[[#This Row],[US Holiday]]&lt;&gt;"", Table1[[#This Row],[India Holiday]]&lt;&gt;""), "Yes", "No")</f>
        <v>No</v>
      </c>
      <c r="I639" s="2">
        <f>IF(
  AND(
    WORKDAY(E639-1,1)=E639,
    _xlfn.CONCAT(F639:G639)=""
  ),
  _xlfn.MAXIFS(I$2:I638,C$2:C638,C639,B$2:B638,B639)+1,
  ""
)</f>
        <v>22</v>
      </c>
    </row>
    <row r="640" spans="2:9" x14ac:dyDescent="0.25">
      <c r="B640" s="2">
        <f t="shared" si="29"/>
        <v>2027</v>
      </c>
      <c r="C640" s="2" t="str">
        <f t="shared" si="28"/>
        <v>March</v>
      </c>
      <c r="D640" s="2" t="str">
        <f t="shared" si="30"/>
        <v>Wednesday</v>
      </c>
      <c r="E640" s="4">
        <v>46477</v>
      </c>
      <c r="H640" s="3" t="str">
        <f>IF(OR(Table1[[#This Row],[US Holiday]]&lt;&gt;"", Table1[[#This Row],[India Holiday]]&lt;&gt;""), "Yes", "No")</f>
        <v>No</v>
      </c>
      <c r="I640" s="2">
        <f>IF(
  AND(
    WORKDAY(E640-1,1)=E640,
    _xlfn.CONCAT(F640:G640)=""
  ),
  _xlfn.MAXIFS(I$2:I639,C$2:C639,C640,B$2:B639,B640)+1,
  ""
)</f>
        <v>23</v>
      </c>
    </row>
    <row r="641" spans="2:9" x14ac:dyDescent="0.25">
      <c r="B641" s="2">
        <f t="shared" si="29"/>
        <v>2027</v>
      </c>
      <c r="C641" s="2" t="str">
        <f t="shared" ref="C641:C704" si="31">TEXT(E641,"mmmm")</f>
        <v>April</v>
      </c>
      <c r="D641" s="2" t="str">
        <f t="shared" si="30"/>
        <v>Thursday</v>
      </c>
      <c r="E641" s="4">
        <v>46478</v>
      </c>
      <c r="H641" s="3" t="str">
        <f>IF(OR(Table1[[#This Row],[US Holiday]]&lt;&gt;"", Table1[[#This Row],[India Holiday]]&lt;&gt;""), "Yes", "No")</f>
        <v>No</v>
      </c>
      <c r="I641" s="2">
        <f>IF(
  AND(
    WORKDAY(E641-1,1)=E641,
    _xlfn.CONCAT(F641:G641)=""
  ),
  _xlfn.MAXIFS(I$2:I640,C$2:C640,C641,B$2:B640,B641)+1,
  ""
)</f>
        <v>1</v>
      </c>
    </row>
    <row r="642" spans="2:9" x14ac:dyDescent="0.25">
      <c r="B642" s="2">
        <f t="shared" si="29"/>
        <v>2027</v>
      </c>
      <c r="C642" s="2" t="str">
        <f t="shared" si="31"/>
        <v>April</v>
      </c>
      <c r="D642" s="2" t="str">
        <f t="shared" si="30"/>
        <v>Friday</v>
      </c>
      <c r="E642" s="4">
        <v>46479</v>
      </c>
      <c r="H642" s="3" t="str">
        <f>IF(OR(Table1[[#This Row],[US Holiday]]&lt;&gt;"", Table1[[#This Row],[India Holiday]]&lt;&gt;""), "Yes", "No")</f>
        <v>No</v>
      </c>
      <c r="I642" s="2">
        <f>IF(
  AND(
    WORKDAY(E642-1,1)=E642,
    _xlfn.CONCAT(F642:G642)=""
  ),
  _xlfn.MAXIFS(I$2:I641,C$2:C641,C642,B$2:B641,B642)+1,
  ""
)</f>
        <v>2</v>
      </c>
    </row>
    <row r="643" spans="2:9" x14ac:dyDescent="0.25">
      <c r="B643" s="2">
        <f t="shared" ref="B643:B706" si="32">YEAR(E643)</f>
        <v>2027</v>
      </c>
      <c r="C643" s="2" t="str">
        <f t="shared" si="31"/>
        <v>April</v>
      </c>
      <c r="D643" s="2" t="str">
        <f t="shared" ref="D643:D706" si="33">TEXT(E643,"dddd")</f>
        <v>Saturday</v>
      </c>
      <c r="E643" s="4">
        <v>46480</v>
      </c>
      <c r="H643" s="3" t="str">
        <f>IF(OR(Table1[[#This Row],[US Holiday]]&lt;&gt;"", Table1[[#This Row],[India Holiday]]&lt;&gt;""), "Yes", "No")</f>
        <v>No</v>
      </c>
      <c r="I643" s="2" t="str">
        <f>IF(
  AND(
    WORKDAY(E643-1,1)=E643,
    _xlfn.CONCAT(F643:G643)=""
  ),
  _xlfn.MAXIFS(I$2:I642,C$2:C642,C643,B$2:B642,B643)+1,
  ""
)</f>
        <v/>
      </c>
    </row>
    <row r="644" spans="2:9" x14ac:dyDescent="0.25">
      <c r="B644" s="2">
        <f t="shared" si="32"/>
        <v>2027</v>
      </c>
      <c r="C644" s="2" t="str">
        <f t="shared" si="31"/>
        <v>April</v>
      </c>
      <c r="D644" s="2" t="str">
        <f t="shared" si="33"/>
        <v>Sunday</v>
      </c>
      <c r="E644" s="4">
        <v>46481</v>
      </c>
      <c r="H644" s="3" t="str">
        <f>IF(OR(Table1[[#This Row],[US Holiday]]&lt;&gt;"", Table1[[#This Row],[India Holiday]]&lt;&gt;""), "Yes", "No")</f>
        <v>No</v>
      </c>
      <c r="I644" s="2" t="str">
        <f>IF(
  AND(
    WORKDAY(E644-1,1)=E644,
    _xlfn.CONCAT(F644:G644)=""
  ),
  _xlfn.MAXIFS(I$2:I643,C$2:C643,C644,B$2:B643,B644)+1,
  ""
)</f>
        <v/>
      </c>
    </row>
    <row r="645" spans="2:9" x14ac:dyDescent="0.25">
      <c r="B645" s="2">
        <f t="shared" si="32"/>
        <v>2027</v>
      </c>
      <c r="C645" s="2" t="str">
        <f t="shared" si="31"/>
        <v>April</v>
      </c>
      <c r="D645" s="2" t="str">
        <f t="shared" si="33"/>
        <v>Monday</v>
      </c>
      <c r="E645" s="4">
        <v>46482</v>
      </c>
      <c r="H645" s="3" t="str">
        <f>IF(OR(Table1[[#This Row],[US Holiday]]&lt;&gt;"", Table1[[#This Row],[India Holiday]]&lt;&gt;""), "Yes", "No")</f>
        <v>No</v>
      </c>
      <c r="I645" s="2">
        <f>IF(
  AND(
    WORKDAY(E645-1,1)=E645,
    _xlfn.CONCAT(F645:G645)=""
  ),
  _xlfn.MAXIFS(I$2:I644,C$2:C644,C645,B$2:B644,B645)+1,
  ""
)</f>
        <v>3</v>
      </c>
    </row>
    <row r="646" spans="2:9" x14ac:dyDescent="0.25">
      <c r="B646" s="2">
        <f t="shared" si="32"/>
        <v>2027</v>
      </c>
      <c r="C646" s="2" t="str">
        <f t="shared" si="31"/>
        <v>April</v>
      </c>
      <c r="D646" s="2" t="str">
        <f t="shared" si="33"/>
        <v>Tuesday</v>
      </c>
      <c r="E646" s="4">
        <v>46483</v>
      </c>
      <c r="H646" s="3" t="str">
        <f>IF(OR(Table1[[#This Row],[US Holiday]]&lt;&gt;"", Table1[[#This Row],[India Holiday]]&lt;&gt;""), "Yes", "No")</f>
        <v>No</v>
      </c>
      <c r="I646" s="2">
        <f>IF(
  AND(
    WORKDAY(E646-1,1)=E646,
    _xlfn.CONCAT(F646:G646)=""
  ),
  _xlfn.MAXIFS(I$2:I645,C$2:C645,C646,B$2:B645,B646)+1,
  ""
)</f>
        <v>4</v>
      </c>
    </row>
    <row r="647" spans="2:9" x14ac:dyDescent="0.25">
      <c r="B647" s="2">
        <f t="shared" si="32"/>
        <v>2027</v>
      </c>
      <c r="C647" s="2" t="str">
        <f t="shared" si="31"/>
        <v>April</v>
      </c>
      <c r="D647" s="2" t="str">
        <f t="shared" si="33"/>
        <v>Wednesday</v>
      </c>
      <c r="E647" s="4">
        <v>46484</v>
      </c>
      <c r="H647" s="3" t="str">
        <f>IF(OR(Table1[[#This Row],[US Holiday]]&lt;&gt;"", Table1[[#This Row],[India Holiday]]&lt;&gt;""), "Yes", "No")</f>
        <v>No</v>
      </c>
      <c r="I647" s="2">
        <f>IF(
  AND(
    WORKDAY(E647-1,1)=E647,
    _xlfn.CONCAT(F647:G647)=""
  ),
  _xlfn.MAXIFS(I$2:I646,C$2:C646,C647,B$2:B646,B647)+1,
  ""
)</f>
        <v>5</v>
      </c>
    </row>
    <row r="648" spans="2:9" x14ac:dyDescent="0.25">
      <c r="B648" s="2">
        <f t="shared" si="32"/>
        <v>2027</v>
      </c>
      <c r="C648" s="2" t="str">
        <f t="shared" si="31"/>
        <v>April</v>
      </c>
      <c r="D648" s="2" t="str">
        <f t="shared" si="33"/>
        <v>Thursday</v>
      </c>
      <c r="E648" s="4">
        <v>46485</v>
      </c>
      <c r="H648" s="3" t="str">
        <f>IF(OR(Table1[[#This Row],[US Holiday]]&lt;&gt;"", Table1[[#This Row],[India Holiday]]&lt;&gt;""), "Yes", "No")</f>
        <v>No</v>
      </c>
      <c r="I648" s="2">
        <f>IF(
  AND(
    WORKDAY(E648-1,1)=E648,
    _xlfn.CONCAT(F648:G648)=""
  ),
  _xlfn.MAXIFS(I$2:I647,C$2:C647,C648,B$2:B647,B648)+1,
  ""
)</f>
        <v>6</v>
      </c>
    </row>
    <row r="649" spans="2:9" x14ac:dyDescent="0.25">
      <c r="B649" s="2">
        <f t="shared" si="32"/>
        <v>2027</v>
      </c>
      <c r="C649" s="2" t="str">
        <f t="shared" si="31"/>
        <v>April</v>
      </c>
      <c r="D649" s="2" t="str">
        <f t="shared" si="33"/>
        <v>Friday</v>
      </c>
      <c r="E649" s="4">
        <v>46486</v>
      </c>
      <c r="H649" s="3" t="str">
        <f>IF(OR(Table1[[#This Row],[US Holiday]]&lt;&gt;"", Table1[[#This Row],[India Holiday]]&lt;&gt;""), "Yes", "No")</f>
        <v>No</v>
      </c>
      <c r="I649" s="2">
        <f>IF(
  AND(
    WORKDAY(E649-1,1)=E649,
    _xlfn.CONCAT(F649:G649)=""
  ),
  _xlfn.MAXIFS(I$2:I648,C$2:C648,C649,B$2:B648,B649)+1,
  ""
)</f>
        <v>7</v>
      </c>
    </row>
    <row r="650" spans="2:9" x14ac:dyDescent="0.25">
      <c r="B650" s="2">
        <f t="shared" si="32"/>
        <v>2027</v>
      </c>
      <c r="C650" s="2" t="str">
        <f t="shared" si="31"/>
        <v>April</v>
      </c>
      <c r="D650" s="2" t="str">
        <f t="shared" si="33"/>
        <v>Saturday</v>
      </c>
      <c r="E650" s="4">
        <v>46487</v>
      </c>
      <c r="H650" s="3" t="str">
        <f>IF(OR(Table1[[#This Row],[US Holiday]]&lt;&gt;"", Table1[[#This Row],[India Holiday]]&lt;&gt;""), "Yes", "No")</f>
        <v>No</v>
      </c>
      <c r="I650" s="2" t="str">
        <f>IF(
  AND(
    WORKDAY(E650-1,1)=E650,
    _xlfn.CONCAT(F650:G650)=""
  ),
  _xlfn.MAXIFS(I$2:I649,C$2:C649,C650,B$2:B649,B650)+1,
  ""
)</f>
        <v/>
      </c>
    </row>
    <row r="651" spans="2:9" x14ac:dyDescent="0.25">
      <c r="B651" s="2">
        <f t="shared" si="32"/>
        <v>2027</v>
      </c>
      <c r="C651" s="2" t="str">
        <f t="shared" si="31"/>
        <v>April</v>
      </c>
      <c r="D651" s="2" t="str">
        <f t="shared" si="33"/>
        <v>Sunday</v>
      </c>
      <c r="E651" s="4">
        <v>46488</v>
      </c>
      <c r="H651" s="3" t="str">
        <f>IF(OR(Table1[[#This Row],[US Holiday]]&lt;&gt;"", Table1[[#This Row],[India Holiday]]&lt;&gt;""), "Yes", "No")</f>
        <v>No</v>
      </c>
      <c r="I651" s="2" t="str">
        <f>IF(
  AND(
    WORKDAY(E651-1,1)=E651,
    _xlfn.CONCAT(F651:G651)=""
  ),
  _xlfn.MAXIFS(I$2:I650,C$2:C650,C651,B$2:B650,B651)+1,
  ""
)</f>
        <v/>
      </c>
    </row>
    <row r="652" spans="2:9" x14ac:dyDescent="0.25">
      <c r="B652" s="2">
        <f t="shared" si="32"/>
        <v>2027</v>
      </c>
      <c r="C652" s="2" t="str">
        <f t="shared" si="31"/>
        <v>April</v>
      </c>
      <c r="D652" s="2" t="str">
        <f t="shared" si="33"/>
        <v>Monday</v>
      </c>
      <c r="E652" s="4">
        <v>46489</v>
      </c>
      <c r="H652" s="3" t="str">
        <f>IF(OR(Table1[[#This Row],[US Holiday]]&lt;&gt;"", Table1[[#This Row],[India Holiday]]&lt;&gt;""), "Yes", "No")</f>
        <v>No</v>
      </c>
      <c r="I652" s="2">
        <f>IF(
  AND(
    WORKDAY(E652-1,1)=E652,
    _xlfn.CONCAT(F652:G652)=""
  ),
  _xlfn.MAXIFS(I$2:I651,C$2:C651,C652,B$2:B651,B652)+1,
  ""
)</f>
        <v>8</v>
      </c>
    </row>
    <row r="653" spans="2:9" x14ac:dyDescent="0.25">
      <c r="B653" s="2">
        <f t="shared" si="32"/>
        <v>2027</v>
      </c>
      <c r="C653" s="2" t="str">
        <f t="shared" si="31"/>
        <v>April</v>
      </c>
      <c r="D653" s="2" t="str">
        <f t="shared" si="33"/>
        <v>Tuesday</v>
      </c>
      <c r="E653" s="4">
        <v>46490</v>
      </c>
      <c r="H653" s="3" t="str">
        <f>IF(OR(Table1[[#This Row],[US Holiday]]&lt;&gt;"", Table1[[#This Row],[India Holiday]]&lt;&gt;""), "Yes", "No")</f>
        <v>No</v>
      </c>
      <c r="I653" s="2">
        <f>IF(
  AND(
    WORKDAY(E653-1,1)=E653,
    _xlfn.CONCAT(F653:G653)=""
  ),
  _xlfn.MAXIFS(I$2:I652,C$2:C652,C653,B$2:B652,B653)+1,
  ""
)</f>
        <v>9</v>
      </c>
    </row>
    <row r="654" spans="2:9" x14ac:dyDescent="0.25">
      <c r="B654" s="2">
        <f t="shared" si="32"/>
        <v>2027</v>
      </c>
      <c r="C654" s="2" t="str">
        <f t="shared" si="31"/>
        <v>April</v>
      </c>
      <c r="D654" s="2" t="str">
        <f t="shared" si="33"/>
        <v>Wednesday</v>
      </c>
      <c r="E654" s="4">
        <v>46491</v>
      </c>
      <c r="H654" s="3" t="str">
        <f>IF(OR(Table1[[#This Row],[US Holiday]]&lt;&gt;"", Table1[[#This Row],[India Holiday]]&lt;&gt;""), "Yes", "No")</f>
        <v>No</v>
      </c>
      <c r="I654" s="2">
        <f>IF(
  AND(
    WORKDAY(E654-1,1)=E654,
    _xlfn.CONCAT(F654:G654)=""
  ),
  _xlfn.MAXIFS(I$2:I653,C$2:C653,C654,B$2:B653,B654)+1,
  ""
)</f>
        <v>10</v>
      </c>
    </row>
    <row r="655" spans="2:9" x14ac:dyDescent="0.25">
      <c r="B655" s="2">
        <f t="shared" si="32"/>
        <v>2027</v>
      </c>
      <c r="C655" s="2" t="str">
        <f t="shared" si="31"/>
        <v>April</v>
      </c>
      <c r="D655" s="2" t="str">
        <f t="shared" si="33"/>
        <v>Thursday</v>
      </c>
      <c r="E655" s="4">
        <v>46492</v>
      </c>
      <c r="H655" s="3" t="str">
        <f>IF(OR(Table1[[#This Row],[US Holiday]]&lt;&gt;"", Table1[[#This Row],[India Holiday]]&lt;&gt;""), "Yes", "No")</f>
        <v>No</v>
      </c>
      <c r="I655" s="2">
        <f>IF(
  AND(
    WORKDAY(E655-1,1)=E655,
    _xlfn.CONCAT(F655:G655)=""
  ),
  _xlfn.MAXIFS(I$2:I654,C$2:C654,C655,B$2:B654,B655)+1,
  ""
)</f>
        <v>11</v>
      </c>
    </row>
    <row r="656" spans="2:9" x14ac:dyDescent="0.25">
      <c r="B656" s="2">
        <f t="shared" si="32"/>
        <v>2027</v>
      </c>
      <c r="C656" s="2" t="str">
        <f t="shared" si="31"/>
        <v>April</v>
      </c>
      <c r="D656" s="2" t="str">
        <f t="shared" si="33"/>
        <v>Friday</v>
      </c>
      <c r="E656" s="4">
        <v>46493</v>
      </c>
      <c r="H656" s="3" t="str">
        <f>IF(OR(Table1[[#This Row],[US Holiday]]&lt;&gt;"", Table1[[#This Row],[India Holiday]]&lt;&gt;""), "Yes", "No")</f>
        <v>No</v>
      </c>
      <c r="I656" s="2">
        <f>IF(
  AND(
    WORKDAY(E656-1,1)=E656,
    _xlfn.CONCAT(F656:G656)=""
  ),
  _xlfn.MAXIFS(I$2:I655,C$2:C655,C656,B$2:B655,B656)+1,
  ""
)</f>
        <v>12</v>
      </c>
    </row>
    <row r="657" spans="2:9" x14ac:dyDescent="0.25">
      <c r="B657" s="2">
        <f t="shared" si="32"/>
        <v>2027</v>
      </c>
      <c r="C657" s="2" t="str">
        <f t="shared" si="31"/>
        <v>April</v>
      </c>
      <c r="D657" s="2" t="str">
        <f t="shared" si="33"/>
        <v>Saturday</v>
      </c>
      <c r="E657" s="4">
        <v>46494</v>
      </c>
      <c r="H657" s="3" t="str">
        <f>IF(OR(Table1[[#This Row],[US Holiday]]&lt;&gt;"", Table1[[#This Row],[India Holiday]]&lt;&gt;""), "Yes", "No")</f>
        <v>No</v>
      </c>
      <c r="I657" s="2" t="str">
        <f>IF(
  AND(
    WORKDAY(E657-1,1)=E657,
    _xlfn.CONCAT(F657:G657)=""
  ),
  _xlfn.MAXIFS(I$2:I656,C$2:C656,C657,B$2:B656,B657)+1,
  ""
)</f>
        <v/>
      </c>
    </row>
    <row r="658" spans="2:9" x14ac:dyDescent="0.25">
      <c r="B658" s="2">
        <f t="shared" si="32"/>
        <v>2027</v>
      </c>
      <c r="C658" s="2" t="str">
        <f t="shared" si="31"/>
        <v>April</v>
      </c>
      <c r="D658" s="2" t="str">
        <f t="shared" si="33"/>
        <v>Sunday</v>
      </c>
      <c r="E658" s="4">
        <v>46495</v>
      </c>
      <c r="H658" s="3" t="str">
        <f>IF(OR(Table1[[#This Row],[US Holiday]]&lt;&gt;"", Table1[[#This Row],[India Holiday]]&lt;&gt;""), "Yes", "No")</f>
        <v>No</v>
      </c>
      <c r="I658" s="2" t="str">
        <f>IF(
  AND(
    WORKDAY(E658-1,1)=E658,
    _xlfn.CONCAT(F658:G658)=""
  ),
  _xlfn.MAXIFS(I$2:I657,C$2:C657,C658,B$2:B657,B658)+1,
  ""
)</f>
        <v/>
      </c>
    </row>
    <row r="659" spans="2:9" x14ac:dyDescent="0.25">
      <c r="B659" s="2">
        <f t="shared" si="32"/>
        <v>2027</v>
      </c>
      <c r="C659" s="2" t="str">
        <f t="shared" si="31"/>
        <v>April</v>
      </c>
      <c r="D659" s="2" t="str">
        <f t="shared" si="33"/>
        <v>Monday</v>
      </c>
      <c r="E659" s="4">
        <v>46496</v>
      </c>
      <c r="H659" s="3" t="str">
        <f>IF(OR(Table1[[#This Row],[US Holiday]]&lt;&gt;"", Table1[[#This Row],[India Holiday]]&lt;&gt;""), "Yes", "No")</f>
        <v>No</v>
      </c>
      <c r="I659" s="2">
        <f>IF(
  AND(
    WORKDAY(E659-1,1)=E659,
    _xlfn.CONCAT(F659:G659)=""
  ),
  _xlfn.MAXIFS(I$2:I658,C$2:C658,C659,B$2:B658,B659)+1,
  ""
)</f>
        <v>13</v>
      </c>
    </row>
    <row r="660" spans="2:9" x14ac:dyDescent="0.25">
      <c r="B660" s="2">
        <f t="shared" si="32"/>
        <v>2027</v>
      </c>
      <c r="C660" s="2" t="str">
        <f t="shared" si="31"/>
        <v>April</v>
      </c>
      <c r="D660" s="2" t="str">
        <f t="shared" si="33"/>
        <v>Tuesday</v>
      </c>
      <c r="E660" s="4">
        <v>46497</v>
      </c>
      <c r="H660" s="3" t="str">
        <f>IF(OR(Table1[[#This Row],[US Holiday]]&lt;&gt;"", Table1[[#This Row],[India Holiday]]&lt;&gt;""), "Yes", "No")</f>
        <v>No</v>
      </c>
      <c r="I660" s="2">
        <f>IF(
  AND(
    WORKDAY(E660-1,1)=E660,
    _xlfn.CONCAT(F660:G660)=""
  ),
  _xlfn.MAXIFS(I$2:I659,C$2:C659,C660,B$2:B659,B660)+1,
  ""
)</f>
        <v>14</v>
      </c>
    </row>
    <row r="661" spans="2:9" x14ac:dyDescent="0.25">
      <c r="B661" s="2">
        <f t="shared" si="32"/>
        <v>2027</v>
      </c>
      <c r="C661" s="2" t="str">
        <f t="shared" si="31"/>
        <v>April</v>
      </c>
      <c r="D661" s="2" t="str">
        <f t="shared" si="33"/>
        <v>Wednesday</v>
      </c>
      <c r="E661" s="4">
        <v>46498</v>
      </c>
      <c r="H661" s="3" t="str">
        <f>IF(OR(Table1[[#This Row],[US Holiday]]&lt;&gt;"", Table1[[#This Row],[India Holiday]]&lt;&gt;""), "Yes", "No")</f>
        <v>No</v>
      </c>
      <c r="I661" s="2">
        <f>IF(
  AND(
    WORKDAY(E661-1,1)=E661,
    _xlfn.CONCAT(F661:G661)=""
  ),
  _xlfn.MAXIFS(I$2:I660,C$2:C660,C661,B$2:B660,B661)+1,
  ""
)</f>
        <v>15</v>
      </c>
    </row>
    <row r="662" spans="2:9" x14ac:dyDescent="0.25">
      <c r="B662" s="2">
        <f t="shared" si="32"/>
        <v>2027</v>
      </c>
      <c r="C662" s="2" t="str">
        <f t="shared" si="31"/>
        <v>April</v>
      </c>
      <c r="D662" s="2" t="str">
        <f t="shared" si="33"/>
        <v>Thursday</v>
      </c>
      <c r="E662" s="4">
        <v>46499</v>
      </c>
      <c r="H662" s="3" t="str">
        <f>IF(OR(Table1[[#This Row],[US Holiday]]&lt;&gt;"", Table1[[#This Row],[India Holiday]]&lt;&gt;""), "Yes", "No")</f>
        <v>No</v>
      </c>
      <c r="I662" s="2">
        <f>IF(
  AND(
    WORKDAY(E662-1,1)=E662,
    _xlfn.CONCAT(F662:G662)=""
  ),
  _xlfn.MAXIFS(I$2:I661,C$2:C661,C662,B$2:B661,B662)+1,
  ""
)</f>
        <v>16</v>
      </c>
    </row>
    <row r="663" spans="2:9" x14ac:dyDescent="0.25">
      <c r="B663" s="2">
        <f t="shared" si="32"/>
        <v>2027</v>
      </c>
      <c r="C663" s="2" t="str">
        <f t="shared" si="31"/>
        <v>April</v>
      </c>
      <c r="D663" s="2" t="str">
        <f t="shared" si="33"/>
        <v>Friday</v>
      </c>
      <c r="E663" s="4">
        <v>46500</v>
      </c>
      <c r="H663" s="3" t="str">
        <f>IF(OR(Table1[[#This Row],[US Holiday]]&lt;&gt;"", Table1[[#This Row],[India Holiday]]&lt;&gt;""), "Yes", "No")</f>
        <v>No</v>
      </c>
      <c r="I663" s="2">
        <f>IF(
  AND(
    WORKDAY(E663-1,1)=E663,
    _xlfn.CONCAT(F663:G663)=""
  ),
  _xlfn.MAXIFS(I$2:I662,C$2:C662,C663,B$2:B662,B663)+1,
  ""
)</f>
        <v>17</v>
      </c>
    </row>
    <row r="664" spans="2:9" x14ac:dyDescent="0.25">
      <c r="B664" s="2">
        <f t="shared" si="32"/>
        <v>2027</v>
      </c>
      <c r="C664" s="2" t="str">
        <f t="shared" si="31"/>
        <v>April</v>
      </c>
      <c r="D664" s="2" t="str">
        <f t="shared" si="33"/>
        <v>Saturday</v>
      </c>
      <c r="E664" s="4">
        <v>46501</v>
      </c>
      <c r="H664" s="3" t="str">
        <f>IF(OR(Table1[[#This Row],[US Holiday]]&lt;&gt;"", Table1[[#This Row],[India Holiday]]&lt;&gt;""), "Yes", "No")</f>
        <v>No</v>
      </c>
      <c r="I664" s="2" t="str">
        <f>IF(
  AND(
    WORKDAY(E664-1,1)=E664,
    _xlfn.CONCAT(F664:G664)=""
  ),
  _xlfn.MAXIFS(I$2:I663,C$2:C663,C664,B$2:B663,B664)+1,
  ""
)</f>
        <v/>
      </c>
    </row>
    <row r="665" spans="2:9" x14ac:dyDescent="0.25">
      <c r="B665" s="2">
        <f t="shared" si="32"/>
        <v>2027</v>
      </c>
      <c r="C665" s="2" t="str">
        <f t="shared" si="31"/>
        <v>April</v>
      </c>
      <c r="D665" s="2" t="str">
        <f t="shared" si="33"/>
        <v>Sunday</v>
      </c>
      <c r="E665" s="4">
        <v>46502</v>
      </c>
      <c r="H665" s="3" t="str">
        <f>IF(OR(Table1[[#This Row],[US Holiday]]&lt;&gt;"", Table1[[#This Row],[India Holiday]]&lt;&gt;""), "Yes", "No")</f>
        <v>No</v>
      </c>
      <c r="I665" s="2" t="str">
        <f>IF(
  AND(
    WORKDAY(E665-1,1)=E665,
    _xlfn.CONCAT(F665:G665)=""
  ),
  _xlfn.MAXIFS(I$2:I664,C$2:C664,C665,B$2:B664,B665)+1,
  ""
)</f>
        <v/>
      </c>
    </row>
    <row r="666" spans="2:9" x14ac:dyDescent="0.25">
      <c r="B666" s="2">
        <f t="shared" si="32"/>
        <v>2027</v>
      </c>
      <c r="C666" s="2" t="str">
        <f t="shared" si="31"/>
        <v>April</v>
      </c>
      <c r="D666" s="2" t="str">
        <f t="shared" si="33"/>
        <v>Monday</v>
      </c>
      <c r="E666" s="4">
        <v>46503</v>
      </c>
      <c r="H666" s="3" t="str">
        <f>IF(OR(Table1[[#This Row],[US Holiday]]&lt;&gt;"", Table1[[#This Row],[India Holiday]]&lt;&gt;""), "Yes", "No")</f>
        <v>No</v>
      </c>
      <c r="I666" s="2">
        <f>IF(
  AND(
    WORKDAY(E666-1,1)=E666,
    _xlfn.CONCAT(F666:G666)=""
  ),
  _xlfn.MAXIFS(I$2:I665,C$2:C665,C666,B$2:B665,B666)+1,
  ""
)</f>
        <v>18</v>
      </c>
    </row>
    <row r="667" spans="2:9" x14ac:dyDescent="0.25">
      <c r="B667" s="2">
        <f t="shared" si="32"/>
        <v>2027</v>
      </c>
      <c r="C667" s="2" t="str">
        <f t="shared" si="31"/>
        <v>April</v>
      </c>
      <c r="D667" s="2" t="str">
        <f t="shared" si="33"/>
        <v>Tuesday</v>
      </c>
      <c r="E667" s="4">
        <v>46504</v>
      </c>
      <c r="H667" s="3" t="str">
        <f>IF(OR(Table1[[#This Row],[US Holiday]]&lt;&gt;"", Table1[[#This Row],[India Holiday]]&lt;&gt;""), "Yes", "No")</f>
        <v>No</v>
      </c>
      <c r="I667" s="2">
        <f>IF(
  AND(
    WORKDAY(E667-1,1)=E667,
    _xlfn.CONCAT(F667:G667)=""
  ),
  _xlfn.MAXIFS(I$2:I666,C$2:C666,C667,B$2:B666,B667)+1,
  ""
)</f>
        <v>19</v>
      </c>
    </row>
    <row r="668" spans="2:9" x14ac:dyDescent="0.25">
      <c r="B668" s="2">
        <f t="shared" si="32"/>
        <v>2027</v>
      </c>
      <c r="C668" s="2" t="str">
        <f t="shared" si="31"/>
        <v>April</v>
      </c>
      <c r="D668" s="2" t="str">
        <f t="shared" si="33"/>
        <v>Wednesday</v>
      </c>
      <c r="E668" s="4">
        <v>46505</v>
      </c>
      <c r="H668" s="3" t="str">
        <f>IF(OR(Table1[[#This Row],[US Holiday]]&lt;&gt;"", Table1[[#This Row],[India Holiday]]&lt;&gt;""), "Yes", "No")</f>
        <v>No</v>
      </c>
      <c r="I668" s="2">
        <f>IF(
  AND(
    WORKDAY(E668-1,1)=E668,
    _xlfn.CONCAT(F668:G668)=""
  ),
  _xlfn.MAXIFS(I$2:I667,C$2:C667,C668,B$2:B667,B668)+1,
  ""
)</f>
        <v>20</v>
      </c>
    </row>
    <row r="669" spans="2:9" x14ac:dyDescent="0.25">
      <c r="B669" s="2">
        <f t="shared" si="32"/>
        <v>2027</v>
      </c>
      <c r="C669" s="2" t="str">
        <f t="shared" si="31"/>
        <v>April</v>
      </c>
      <c r="D669" s="2" t="str">
        <f t="shared" si="33"/>
        <v>Thursday</v>
      </c>
      <c r="E669" s="4">
        <v>46506</v>
      </c>
      <c r="H669" s="3" t="str">
        <f>IF(OR(Table1[[#This Row],[US Holiday]]&lt;&gt;"", Table1[[#This Row],[India Holiday]]&lt;&gt;""), "Yes", "No")</f>
        <v>No</v>
      </c>
      <c r="I669" s="2">
        <f>IF(
  AND(
    WORKDAY(E669-1,1)=E669,
    _xlfn.CONCAT(F669:G669)=""
  ),
  _xlfn.MAXIFS(I$2:I668,C$2:C668,C669,B$2:B668,B669)+1,
  ""
)</f>
        <v>21</v>
      </c>
    </row>
    <row r="670" spans="2:9" x14ac:dyDescent="0.25">
      <c r="B670" s="2">
        <f t="shared" si="32"/>
        <v>2027</v>
      </c>
      <c r="C670" s="2" t="str">
        <f t="shared" si="31"/>
        <v>April</v>
      </c>
      <c r="D670" s="2" t="str">
        <f t="shared" si="33"/>
        <v>Friday</v>
      </c>
      <c r="E670" s="4">
        <v>46507</v>
      </c>
      <c r="H670" s="3" t="str">
        <f>IF(OR(Table1[[#This Row],[US Holiday]]&lt;&gt;"", Table1[[#This Row],[India Holiday]]&lt;&gt;""), "Yes", "No")</f>
        <v>No</v>
      </c>
      <c r="I670" s="2">
        <f>IF(
  AND(
    WORKDAY(E670-1,1)=E670,
    _xlfn.CONCAT(F670:G670)=""
  ),
  _xlfn.MAXIFS(I$2:I669,C$2:C669,C670,B$2:B669,B670)+1,
  ""
)</f>
        <v>22</v>
      </c>
    </row>
    <row r="671" spans="2:9" x14ac:dyDescent="0.25">
      <c r="B671" s="2">
        <f t="shared" si="32"/>
        <v>2027</v>
      </c>
      <c r="C671" s="2" t="str">
        <f t="shared" si="31"/>
        <v>May</v>
      </c>
      <c r="D671" s="2" t="str">
        <f t="shared" si="33"/>
        <v>Saturday</v>
      </c>
      <c r="E671" s="4">
        <v>46508</v>
      </c>
      <c r="H671" s="3" t="str">
        <f>IF(OR(Table1[[#This Row],[US Holiday]]&lt;&gt;"", Table1[[#This Row],[India Holiday]]&lt;&gt;""), "Yes", "No")</f>
        <v>No</v>
      </c>
      <c r="I671" s="2" t="str">
        <f>IF(
  AND(
    WORKDAY(E671-1,1)=E671,
    _xlfn.CONCAT(F671:G671)=""
  ),
  _xlfn.MAXIFS(I$2:I670,C$2:C670,C671,B$2:B670,B671)+1,
  ""
)</f>
        <v/>
      </c>
    </row>
    <row r="672" spans="2:9" x14ac:dyDescent="0.25">
      <c r="B672" s="2">
        <f t="shared" si="32"/>
        <v>2027</v>
      </c>
      <c r="C672" s="2" t="str">
        <f t="shared" si="31"/>
        <v>May</v>
      </c>
      <c r="D672" s="2" t="str">
        <f t="shared" si="33"/>
        <v>Sunday</v>
      </c>
      <c r="E672" s="4">
        <v>46509</v>
      </c>
      <c r="H672" s="3" t="str">
        <f>IF(OR(Table1[[#This Row],[US Holiday]]&lt;&gt;"", Table1[[#This Row],[India Holiday]]&lt;&gt;""), "Yes", "No")</f>
        <v>No</v>
      </c>
      <c r="I672" s="2" t="str">
        <f>IF(
  AND(
    WORKDAY(E672-1,1)=E672,
    _xlfn.CONCAT(F672:G672)=""
  ),
  _xlfn.MAXIFS(I$2:I671,C$2:C671,C672,B$2:B671,B672)+1,
  ""
)</f>
        <v/>
      </c>
    </row>
    <row r="673" spans="2:9" x14ac:dyDescent="0.25">
      <c r="B673" s="2">
        <f t="shared" si="32"/>
        <v>2027</v>
      </c>
      <c r="C673" s="2" t="str">
        <f t="shared" si="31"/>
        <v>May</v>
      </c>
      <c r="D673" s="2" t="str">
        <f t="shared" si="33"/>
        <v>Monday</v>
      </c>
      <c r="E673" s="4">
        <v>46510</v>
      </c>
      <c r="H673" s="3" t="str">
        <f>IF(OR(Table1[[#This Row],[US Holiday]]&lt;&gt;"", Table1[[#This Row],[India Holiday]]&lt;&gt;""), "Yes", "No")</f>
        <v>No</v>
      </c>
      <c r="I673" s="2">
        <f>IF(
  AND(
    WORKDAY(E673-1,1)=E673,
    _xlfn.CONCAT(F673:G673)=""
  ),
  _xlfn.MAXIFS(I$2:I672,C$2:C672,C673,B$2:B672,B673)+1,
  ""
)</f>
        <v>1</v>
      </c>
    </row>
    <row r="674" spans="2:9" x14ac:dyDescent="0.25">
      <c r="B674" s="2">
        <f t="shared" si="32"/>
        <v>2027</v>
      </c>
      <c r="C674" s="2" t="str">
        <f t="shared" si="31"/>
        <v>May</v>
      </c>
      <c r="D674" s="2" t="str">
        <f t="shared" si="33"/>
        <v>Tuesday</v>
      </c>
      <c r="E674" s="4">
        <v>46511</v>
      </c>
      <c r="H674" s="3" t="str">
        <f>IF(OR(Table1[[#This Row],[US Holiday]]&lt;&gt;"", Table1[[#This Row],[India Holiday]]&lt;&gt;""), "Yes", "No")</f>
        <v>No</v>
      </c>
      <c r="I674" s="2">
        <f>IF(
  AND(
    WORKDAY(E674-1,1)=E674,
    _xlfn.CONCAT(F674:G674)=""
  ),
  _xlfn.MAXIFS(I$2:I673,C$2:C673,C674,B$2:B673,B674)+1,
  ""
)</f>
        <v>2</v>
      </c>
    </row>
    <row r="675" spans="2:9" x14ac:dyDescent="0.25">
      <c r="B675" s="2">
        <f t="shared" si="32"/>
        <v>2027</v>
      </c>
      <c r="C675" s="2" t="str">
        <f t="shared" si="31"/>
        <v>May</v>
      </c>
      <c r="D675" s="2" t="str">
        <f t="shared" si="33"/>
        <v>Wednesday</v>
      </c>
      <c r="E675" s="4">
        <v>46512</v>
      </c>
      <c r="H675" s="3" t="str">
        <f>IF(OR(Table1[[#This Row],[US Holiday]]&lt;&gt;"", Table1[[#This Row],[India Holiday]]&lt;&gt;""), "Yes", "No")</f>
        <v>No</v>
      </c>
      <c r="I675" s="2">
        <f>IF(
  AND(
    WORKDAY(E675-1,1)=E675,
    _xlfn.CONCAT(F675:G675)=""
  ),
  _xlfn.MAXIFS(I$2:I674,C$2:C674,C675,B$2:B674,B675)+1,
  ""
)</f>
        <v>3</v>
      </c>
    </row>
    <row r="676" spans="2:9" x14ac:dyDescent="0.25">
      <c r="B676" s="2">
        <f t="shared" si="32"/>
        <v>2027</v>
      </c>
      <c r="C676" s="2" t="str">
        <f t="shared" si="31"/>
        <v>May</v>
      </c>
      <c r="D676" s="2" t="str">
        <f t="shared" si="33"/>
        <v>Thursday</v>
      </c>
      <c r="E676" s="4">
        <v>46513</v>
      </c>
      <c r="H676" s="3" t="str">
        <f>IF(OR(Table1[[#This Row],[US Holiday]]&lt;&gt;"", Table1[[#This Row],[India Holiday]]&lt;&gt;""), "Yes", "No")</f>
        <v>No</v>
      </c>
      <c r="I676" s="2">
        <f>IF(
  AND(
    WORKDAY(E676-1,1)=E676,
    _xlfn.CONCAT(F676:G676)=""
  ),
  _xlfn.MAXIFS(I$2:I675,C$2:C675,C676,B$2:B675,B676)+1,
  ""
)</f>
        <v>4</v>
      </c>
    </row>
    <row r="677" spans="2:9" x14ac:dyDescent="0.25">
      <c r="B677" s="2">
        <f t="shared" si="32"/>
        <v>2027</v>
      </c>
      <c r="C677" s="2" t="str">
        <f t="shared" si="31"/>
        <v>May</v>
      </c>
      <c r="D677" s="2" t="str">
        <f t="shared" si="33"/>
        <v>Friday</v>
      </c>
      <c r="E677" s="4">
        <v>46514</v>
      </c>
      <c r="H677" s="3" t="str">
        <f>IF(OR(Table1[[#This Row],[US Holiday]]&lt;&gt;"", Table1[[#This Row],[India Holiday]]&lt;&gt;""), "Yes", "No")</f>
        <v>No</v>
      </c>
      <c r="I677" s="2">
        <f>IF(
  AND(
    WORKDAY(E677-1,1)=E677,
    _xlfn.CONCAT(F677:G677)=""
  ),
  _xlfn.MAXIFS(I$2:I676,C$2:C676,C677,B$2:B676,B677)+1,
  ""
)</f>
        <v>5</v>
      </c>
    </row>
    <row r="678" spans="2:9" x14ac:dyDescent="0.25">
      <c r="B678" s="2">
        <f t="shared" si="32"/>
        <v>2027</v>
      </c>
      <c r="C678" s="2" t="str">
        <f t="shared" si="31"/>
        <v>May</v>
      </c>
      <c r="D678" s="2" t="str">
        <f t="shared" si="33"/>
        <v>Saturday</v>
      </c>
      <c r="E678" s="4">
        <v>46515</v>
      </c>
      <c r="H678" s="3" t="str">
        <f>IF(OR(Table1[[#This Row],[US Holiday]]&lt;&gt;"", Table1[[#This Row],[India Holiday]]&lt;&gt;""), "Yes", "No")</f>
        <v>No</v>
      </c>
      <c r="I678" s="2" t="str">
        <f>IF(
  AND(
    WORKDAY(E678-1,1)=E678,
    _xlfn.CONCAT(F678:G678)=""
  ),
  _xlfn.MAXIFS(I$2:I677,C$2:C677,C678,B$2:B677,B678)+1,
  ""
)</f>
        <v/>
      </c>
    </row>
    <row r="679" spans="2:9" x14ac:dyDescent="0.25">
      <c r="B679" s="2">
        <f t="shared" si="32"/>
        <v>2027</v>
      </c>
      <c r="C679" s="2" t="str">
        <f t="shared" si="31"/>
        <v>May</v>
      </c>
      <c r="D679" s="2" t="str">
        <f t="shared" si="33"/>
        <v>Sunday</v>
      </c>
      <c r="E679" s="4">
        <v>46516</v>
      </c>
      <c r="H679" s="3" t="str">
        <f>IF(OR(Table1[[#This Row],[US Holiday]]&lt;&gt;"", Table1[[#This Row],[India Holiday]]&lt;&gt;""), "Yes", "No")</f>
        <v>No</v>
      </c>
      <c r="I679" s="2" t="str">
        <f>IF(
  AND(
    WORKDAY(E679-1,1)=E679,
    _xlfn.CONCAT(F679:G679)=""
  ),
  _xlfn.MAXIFS(I$2:I678,C$2:C678,C679,B$2:B678,B679)+1,
  ""
)</f>
        <v/>
      </c>
    </row>
    <row r="680" spans="2:9" x14ac:dyDescent="0.25">
      <c r="B680" s="2">
        <f t="shared" si="32"/>
        <v>2027</v>
      </c>
      <c r="C680" s="2" t="str">
        <f t="shared" si="31"/>
        <v>May</v>
      </c>
      <c r="D680" s="2" t="str">
        <f t="shared" si="33"/>
        <v>Monday</v>
      </c>
      <c r="E680" s="4">
        <v>46517</v>
      </c>
      <c r="H680" s="3" t="str">
        <f>IF(OR(Table1[[#This Row],[US Holiday]]&lt;&gt;"", Table1[[#This Row],[India Holiday]]&lt;&gt;""), "Yes", "No")</f>
        <v>No</v>
      </c>
      <c r="I680" s="2">
        <f>IF(
  AND(
    WORKDAY(E680-1,1)=E680,
    _xlfn.CONCAT(F680:G680)=""
  ),
  _xlfn.MAXIFS(I$2:I679,C$2:C679,C680,B$2:B679,B680)+1,
  ""
)</f>
        <v>6</v>
      </c>
    </row>
    <row r="681" spans="2:9" x14ac:dyDescent="0.25">
      <c r="B681" s="2">
        <f t="shared" si="32"/>
        <v>2027</v>
      </c>
      <c r="C681" s="2" t="str">
        <f t="shared" si="31"/>
        <v>May</v>
      </c>
      <c r="D681" s="2" t="str">
        <f t="shared" si="33"/>
        <v>Tuesday</v>
      </c>
      <c r="E681" s="4">
        <v>46518</v>
      </c>
      <c r="H681" s="3" t="str">
        <f>IF(OR(Table1[[#This Row],[US Holiday]]&lt;&gt;"", Table1[[#This Row],[India Holiday]]&lt;&gt;""), "Yes", "No")</f>
        <v>No</v>
      </c>
      <c r="I681" s="2">
        <f>IF(
  AND(
    WORKDAY(E681-1,1)=E681,
    _xlfn.CONCAT(F681:G681)=""
  ),
  _xlfn.MAXIFS(I$2:I680,C$2:C680,C681,B$2:B680,B681)+1,
  ""
)</f>
        <v>7</v>
      </c>
    </row>
    <row r="682" spans="2:9" x14ac:dyDescent="0.25">
      <c r="B682" s="2">
        <f t="shared" si="32"/>
        <v>2027</v>
      </c>
      <c r="C682" s="2" t="str">
        <f t="shared" si="31"/>
        <v>May</v>
      </c>
      <c r="D682" s="2" t="str">
        <f t="shared" si="33"/>
        <v>Wednesday</v>
      </c>
      <c r="E682" s="4">
        <v>46519</v>
      </c>
      <c r="H682" s="3" t="str">
        <f>IF(OR(Table1[[#This Row],[US Holiday]]&lt;&gt;"", Table1[[#This Row],[India Holiday]]&lt;&gt;""), "Yes", "No")</f>
        <v>No</v>
      </c>
      <c r="I682" s="2">
        <f>IF(
  AND(
    WORKDAY(E682-1,1)=E682,
    _xlfn.CONCAT(F682:G682)=""
  ),
  _xlfn.MAXIFS(I$2:I681,C$2:C681,C682,B$2:B681,B682)+1,
  ""
)</f>
        <v>8</v>
      </c>
    </row>
    <row r="683" spans="2:9" x14ac:dyDescent="0.25">
      <c r="B683" s="2">
        <f t="shared" si="32"/>
        <v>2027</v>
      </c>
      <c r="C683" s="2" t="str">
        <f t="shared" si="31"/>
        <v>May</v>
      </c>
      <c r="D683" s="2" t="str">
        <f t="shared" si="33"/>
        <v>Thursday</v>
      </c>
      <c r="E683" s="4">
        <v>46520</v>
      </c>
      <c r="H683" s="3" t="str">
        <f>IF(OR(Table1[[#This Row],[US Holiday]]&lt;&gt;"", Table1[[#This Row],[India Holiday]]&lt;&gt;""), "Yes", "No")</f>
        <v>No</v>
      </c>
      <c r="I683" s="2">
        <f>IF(
  AND(
    WORKDAY(E683-1,1)=E683,
    _xlfn.CONCAT(F683:G683)=""
  ),
  _xlfn.MAXIFS(I$2:I682,C$2:C682,C683,B$2:B682,B683)+1,
  ""
)</f>
        <v>9</v>
      </c>
    </row>
    <row r="684" spans="2:9" x14ac:dyDescent="0.25">
      <c r="B684" s="2">
        <f t="shared" si="32"/>
        <v>2027</v>
      </c>
      <c r="C684" s="2" t="str">
        <f t="shared" si="31"/>
        <v>May</v>
      </c>
      <c r="D684" s="2" t="str">
        <f t="shared" si="33"/>
        <v>Friday</v>
      </c>
      <c r="E684" s="4">
        <v>46521</v>
      </c>
      <c r="H684" s="3" t="str">
        <f>IF(OR(Table1[[#This Row],[US Holiday]]&lt;&gt;"", Table1[[#This Row],[India Holiday]]&lt;&gt;""), "Yes", "No")</f>
        <v>No</v>
      </c>
      <c r="I684" s="2">
        <f>IF(
  AND(
    WORKDAY(E684-1,1)=E684,
    _xlfn.CONCAT(F684:G684)=""
  ),
  _xlfn.MAXIFS(I$2:I683,C$2:C683,C684,B$2:B683,B684)+1,
  ""
)</f>
        <v>10</v>
      </c>
    </row>
    <row r="685" spans="2:9" x14ac:dyDescent="0.25">
      <c r="B685" s="2">
        <f t="shared" si="32"/>
        <v>2027</v>
      </c>
      <c r="C685" s="2" t="str">
        <f t="shared" si="31"/>
        <v>May</v>
      </c>
      <c r="D685" s="2" t="str">
        <f t="shared" si="33"/>
        <v>Saturday</v>
      </c>
      <c r="E685" s="4">
        <v>46522</v>
      </c>
      <c r="H685" s="3" t="str">
        <f>IF(OR(Table1[[#This Row],[US Holiday]]&lt;&gt;"", Table1[[#This Row],[India Holiday]]&lt;&gt;""), "Yes", "No")</f>
        <v>No</v>
      </c>
      <c r="I685" s="2" t="str">
        <f>IF(
  AND(
    WORKDAY(E685-1,1)=E685,
    _xlfn.CONCAT(F685:G685)=""
  ),
  _xlfn.MAXIFS(I$2:I684,C$2:C684,C685,B$2:B684,B685)+1,
  ""
)</f>
        <v/>
      </c>
    </row>
    <row r="686" spans="2:9" x14ac:dyDescent="0.25">
      <c r="B686" s="2">
        <f t="shared" si="32"/>
        <v>2027</v>
      </c>
      <c r="C686" s="2" t="str">
        <f t="shared" si="31"/>
        <v>May</v>
      </c>
      <c r="D686" s="2" t="str">
        <f t="shared" si="33"/>
        <v>Sunday</v>
      </c>
      <c r="E686" s="4">
        <v>46523</v>
      </c>
      <c r="H686" s="3" t="str">
        <f>IF(OR(Table1[[#This Row],[US Holiday]]&lt;&gt;"", Table1[[#This Row],[India Holiday]]&lt;&gt;""), "Yes", "No")</f>
        <v>No</v>
      </c>
      <c r="I686" s="2" t="str">
        <f>IF(
  AND(
    WORKDAY(E686-1,1)=E686,
    _xlfn.CONCAT(F686:G686)=""
  ),
  _xlfn.MAXIFS(I$2:I685,C$2:C685,C686,B$2:B685,B686)+1,
  ""
)</f>
        <v/>
      </c>
    </row>
    <row r="687" spans="2:9" x14ac:dyDescent="0.25">
      <c r="B687" s="2">
        <f t="shared" si="32"/>
        <v>2027</v>
      </c>
      <c r="C687" s="2" t="str">
        <f t="shared" si="31"/>
        <v>May</v>
      </c>
      <c r="D687" s="2" t="str">
        <f t="shared" si="33"/>
        <v>Monday</v>
      </c>
      <c r="E687" s="4">
        <v>46524</v>
      </c>
      <c r="H687" s="3" t="str">
        <f>IF(OR(Table1[[#This Row],[US Holiday]]&lt;&gt;"", Table1[[#This Row],[India Holiday]]&lt;&gt;""), "Yes", "No")</f>
        <v>No</v>
      </c>
      <c r="I687" s="2">
        <f>IF(
  AND(
    WORKDAY(E687-1,1)=E687,
    _xlfn.CONCAT(F687:G687)=""
  ),
  _xlfn.MAXIFS(I$2:I686,C$2:C686,C687,B$2:B686,B687)+1,
  ""
)</f>
        <v>11</v>
      </c>
    </row>
    <row r="688" spans="2:9" x14ac:dyDescent="0.25">
      <c r="B688" s="2">
        <f t="shared" si="32"/>
        <v>2027</v>
      </c>
      <c r="C688" s="2" t="str">
        <f t="shared" si="31"/>
        <v>May</v>
      </c>
      <c r="D688" s="2" t="str">
        <f t="shared" si="33"/>
        <v>Tuesday</v>
      </c>
      <c r="E688" s="4">
        <v>46525</v>
      </c>
      <c r="H688" s="3" t="str">
        <f>IF(OR(Table1[[#This Row],[US Holiday]]&lt;&gt;"", Table1[[#This Row],[India Holiday]]&lt;&gt;""), "Yes", "No")</f>
        <v>No</v>
      </c>
      <c r="I688" s="2">
        <f>IF(
  AND(
    WORKDAY(E688-1,1)=E688,
    _xlfn.CONCAT(F688:G688)=""
  ),
  _xlfn.MAXIFS(I$2:I687,C$2:C687,C688,B$2:B687,B688)+1,
  ""
)</f>
        <v>12</v>
      </c>
    </row>
    <row r="689" spans="2:9" x14ac:dyDescent="0.25">
      <c r="B689" s="2">
        <f t="shared" si="32"/>
        <v>2027</v>
      </c>
      <c r="C689" s="2" t="str">
        <f t="shared" si="31"/>
        <v>May</v>
      </c>
      <c r="D689" s="2" t="str">
        <f t="shared" si="33"/>
        <v>Wednesday</v>
      </c>
      <c r="E689" s="4">
        <v>46526</v>
      </c>
      <c r="H689" s="3" t="str">
        <f>IF(OR(Table1[[#This Row],[US Holiday]]&lt;&gt;"", Table1[[#This Row],[India Holiday]]&lt;&gt;""), "Yes", "No")</f>
        <v>No</v>
      </c>
      <c r="I689" s="2">
        <f>IF(
  AND(
    WORKDAY(E689-1,1)=E689,
    _xlfn.CONCAT(F689:G689)=""
  ),
  _xlfn.MAXIFS(I$2:I688,C$2:C688,C689,B$2:B688,B689)+1,
  ""
)</f>
        <v>13</v>
      </c>
    </row>
    <row r="690" spans="2:9" x14ac:dyDescent="0.25">
      <c r="B690" s="2">
        <f t="shared" si="32"/>
        <v>2027</v>
      </c>
      <c r="C690" s="2" t="str">
        <f t="shared" si="31"/>
        <v>May</v>
      </c>
      <c r="D690" s="2" t="str">
        <f t="shared" si="33"/>
        <v>Thursday</v>
      </c>
      <c r="E690" s="4">
        <v>46527</v>
      </c>
      <c r="H690" s="3" t="str">
        <f>IF(OR(Table1[[#This Row],[US Holiday]]&lt;&gt;"", Table1[[#This Row],[India Holiday]]&lt;&gt;""), "Yes", "No")</f>
        <v>No</v>
      </c>
      <c r="I690" s="2">
        <f>IF(
  AND(
    WORKDAY(E690-1,1)=E690,
    _xlfn.CONCAT(F690:G690)=""
  ),
  _xlfn.MAXIFS(I$2:I689,C$2:C689,C690,B$2:B689,B690)+1,
  ""
)</f>
        <v>14</v>
      </c>
    </row>
    <row r="691" spans="2:9" x14ac:dyDescent="0.25">
      <c r="B691" s="2">
        <f t="shared" si="32"/>
        <v>2027</v>
      </c>
      <c r="C691" s="2" t="str">
        <f t="shared" si="31"/>
        <v>May</v>
      </c>
      <c r="D691" s="2" t="str">
        <f t="shared" si="33"/>
        <v>Friday</v>
      </c>
      <c r="E691" s="4">
        <v>46528</v>
      </c>
      <c r="H691" s="3" t="str">
        <f>IF(OR(Table1[[#This Row],[US Holiday]]&lt;&gt;"", Table1[[#This Row],[India Holiday]]&lt;&gt;""), "Yes", "No")</f>
        <v>No</v>
      </c>
      <c r="I691" s="2">
        <f>IF(
  AND(
    WORKDAY(E691-1,1)=E691,
    _xlfn.CONCAT(F691:G691)=""
  ),
  _xlfn.MAXIFS(I$2:I690,C$2:C690,C691,B$2:B690,B691)+1,
  ""
)</f>
        <v>15</v>
      </c>
    </row>
    <row r="692" spans="2:9" x14ac:dyDescent="0.25">
      <c r="B692" s="2">
        <f t="shared" si="32"/>
        <v>2027</v>
      </c>
      <c r="C692" s="2" t="str">
        <f t="shared" si="31"/>
        <v>May</v>
      </c>
      <c r="D692" s="2" t="str">
        <f t="shared" si="33"/>
        <v>Saturday</v>
      </c>
      <c r="E692" s="4">
        <v>46529</v>
      </c>
      <c r="H692" s="3" t="str">
        <f>IF(OR(Table1[[#This Row],[US Holiday]]&lt;&gt;"", Table1[[#This Row],[India Holiday]]&lt;&gt;""), "Yes", "No")</f>
        <v>No</v>
      </c>
      <c r="I692" s="2" t="str">
        <f>IF(
  AND(
    WORKDAY(E692-1,1)=E692,
    _xlfn.CONCAT(F692:G692)=""
  ),
  _xlfn.MAXIFS(I$2:I691,C$2:C691,C692,B$2:B691,B692)+1,
  ""
)</f>
        <v/>
      </c>
    </row>
    <row r="693" spans="2:9" x14ac:dyDescent="0.25">
      <c r="B693" s="2">
        <f t="shared" si="32"/>
        <v>2027</v>
      </c>
      <c r="C693" s="2" t="str">
        <f t="shared" si="31"/>
        <v>May</v>
      </c>
      <c r="D693" s="2" t="str">
        <f t="shared" si="33"/>
        <v>Sunday</v>
      </c>
      <c r="E693" s="4">
        <v>46530</v>
      </c>
      <c r="H693" s="3" t="str">
        <f>IF(OR(Table1[[#This Row],[US Holiday]]&lt;&gt;"", Table1[[#This Row],[India Holiday]]&lt;&gt;""), "Yes", "No")</f>
        <v>No</v>
      </c>
      <c r="I693" s="2" t="str">
        <f>IF(
  AND(
    WORKDAY(E693-1,1)=E693,
    _xlfn.CONCAT(F693:G693)=""
  ),
  _xlfn.MAXIFS(I$2:I692,C$2:C692,C693,B$2:B692,B693)+1,
  ""
)</f>
        <v/>
      </c>
    </row>
    <row r="694" spans="2:9" x14ac:dyDescent="0.25">
      <c r="B694" s="2">
        <f t="shared" si="32"/>
        <v>2027</v>
      </c>
      <c r="C694" s="2" t="str">
        <f t="shared" si="31"/>
        <v>May</v>
      </c>
      <c r="D694" s="2" t="str">
        <f t="shared" si="33"/>
        <v>Monday</v>
      </c>
      <c r="E694" s="4">
        <v>46531</v>
      </c>
      <c r="H694" s="3" t="str">
        <f>IF(OR(Table1[[#This Row],[US Holiday]]&lt;&gt;"", Table1[[#This Row],[India Holiday]]&lt;&gt;""), "Yes", "No")</f>
        <v>No</v>
      </c>
      <c r="I694" s="2">
        <f>IF(
  AND(
    WORKDAY(E694-1,1)=E694,
    _xlfn.CONCAT(F694:G694)=""
  ),
  _xlfn.MAXIFS(I$2:I693,C$2:C693,C694,B$2:B693,B694)+1,
  ""
)</f>
        <v>16</v>
      </c>
    </row>
    <row r="695" spans="2:9" x14ac:dyDescent="0.25">
      <c r="B695" s="2">
        <f t="shared" si="32"/>
        <v>2027</v>
      </c>
      <c r="C695" s="2" t="str">
        <f t="shared" si="31"/>
        <v>May</v>
      </c>
      <c r="D695" s="2" t="str">
        <f t="shared" si="33"/>
        <v>Tuesday</v>
      </c>
      <c r="E695" s="4">
        <v>46532</v>
      </c>
      <c r="H695" s="3" t="str">
        <f>IF(OR(Table1[[#This Row],[US Holiday]]&lt;&gt;"", Table1[[#This Row],[India Holiday]]&lt;&gt;""), "Yes", "No")</f>
        <v>No</v>
      </c>
      <c r="I695" s="2">
        <f>IF(
  AND(
    WORKDAY(E695-1,1)=E695,
    _xlfn.CONCAT(F695:G695)=""
  ),
  _xlfn.MAXIFS(I$2:I694,C$2:C694,C695,B$2:B694,B695)+1,
  ""
)</f>
        <v>17</v>
      </c>
    </row>
    <row r="696" spans="2:9" x14ac:dyDescent="0.25">
      <c r="B696" s="2">
        <f t="shared" si="32"/>
        <v>2027</v>
      </c>
      <c r="C696" s="2" t="str">
        <f t="shared" si="31"/>
        <v>May</v>
      </c>
      <c r="D696" s="2" t="str">
        <f t="shared" si="33"/>
        <v>Wednesday</v>
      </c>
      <c r="E696" s="4">
        <v>46533</v>
      </c>
      <c r="H696" s="3" t="str">
        <f>IF(OR(Table1[[#This Row],[US Holiday]]&lt;&gt;"", Table1[[#This Row],[India Holiday]]&lt;&gt;""), "Yes", "No")</f>
        <v>No</v>
      </c>
      <c r="I696" s="2">
        <f>IF(
  AND(
    WORKDAY(E696-1,1)=E696,
    _xlfn.CONCAT(F696:G696)=""
  ),
  _xlfn.MAXIFS(I$2:I695,C$2:C695,C696,B$2:B695,B696)+1,
  ""
)</f>
        <v>18</v>
      </c>
    </row>
    <row r="697" spans="2:9" x14ac:dyDescent="0.25">
      <c r="B697" s="2">
        <f t="shared" si="32"/>
        <v>2027</v>
      </c>
      <c r="C697" s="2" t="str">
        <f t="shared" si="31"/>
        <v>May</v>
      </c>
      <c r="D697" s="2" t="str">
        <f t="shared" si="33"/>
        <v>Thursday</v>
      </c>
      <c r="E697" s="4">
        <v>46534</v>
      </c>
      <c r="H697" s="3" t="str">
        <f>IF(OR(Table1[[#This Row],[US Holiday]]&lt;&gt;"", Table1[[#This Row],[India Holiday]]&lt;&gt;""), "Yes", "No")</f>
        <v>No</v>
      </c>
      <c r="I697" s="2">
        <f>IF(
  AND(
    WORKDAY(E697-1,1)=E697,
    _xlfn.CONCAT(F697:G697)=""
  ),
  _xlfn.MAXIFS(I$2:I696,C$2:C696,C697,B$2:B696,B697)+1,
  ""
)</f>
        <v>19</v>
      </c>
    </row>
    <row r="698" spans="2:9" x14ac:dyDescent="0.25">
      <c r="B698" s="2">
        <f t="shared" si="32"/>
        <v>2027</v>
      </c>
      <c r="C698" s="2" t="str">
        <f t="shared" si="31"/>
        <v>May</v>
      </c>
      <c r="D698" s="2" t="str">
        <f t="shared" si="33"/>
        <v>Friday</v>
      </c>
      <c r="E698" s="4">
        <v>46535</v>
      </c>
      <c r="H698" s="3" t="str">
        <f>IF(OR(Table1[[#This Row],[US Holiday]]&lt;&gt;"", Table1[[#This Row],[India Holiday]]&lt;&gt;""), "Yes", "No")</f>
        <v>No</v>
      </c>
      <c r="I698" s="2">
        <f>IF(
  AND(
    WORKDAY(E698-1,1)=E698,
    _xlfn.CONCAT(F698:G698)=""
  ),
  _xlfn.MAXIFS(I$2:I697,C$2:C697,C698,B$2:B697,B698)+1,
  ""
)</f>
        <v>20</v>
      </c>
    </row>
    <row r="699" spans="2:9" x14ac:dyDescent="0.25">
      <c r="B699" s="2">
        <f t="shared" si="32"/>
        <v>2027</v>
      </c>
      <c r="C699" s="2" t="str">
        <f t="shared" si="31"/>
        <v>May</v>
      </c>
      <c r="D699" s="2" t="str">
        <f t="shared" si="33"/>
        <v>Saturday</v>
      </c>
      <c r="E699" s="4">
        <v>46536</v>
      </c>
      <c r="H699" s="3" t="str">
        <f>IF(OR(Table1[[#This Row],[US Holiday]]&lt;&gt;"", Table1[[#This Row],[India Holiday]]&lt;&gt;""), "Yes", "No")</f>
        <v>No</v>
      </c>
      <c r="I699" s="2" t="str">
        <f>IF(
  AND(
    WORKDAY(E699-1,1)=E699,
    _xlfn.CONCAT(F699:G699)=""
  ),
  _xlfn.MAXIFS(I$2:I698,C$2:C698,C699,B$2:B698,B699)+1,
  ""
)</f>
        <v/>
      </c>
    </row>
    <row r="700" spans="2:9" x14ac:dyDescent="0.25">
      <c r="B700" s="2">
        <f t="shared" si="32"/>
        <v>2027</v>
      </c>
      <c r="C700" s="2" t="str">
        <f t="shared" si="31"/>
        <v>May</v>
      </c>
      <c r="D700" s="2" t="str">
        <f t="shared" si="33"/>
        <v>Sunday</v>
      </c>
      <c r="E700" s="4">
        <v>46537</v>
      </c>
      <c r="H700" s="3" t="str">
        <f>IF(OR(Table1[[#This Row],[US Holiday]]&lt;&gt;"", Table1[[#This Row],[India Holiday]]&lt;&gt;""), "Yes", "No")</f>
        <v>No</v>
      </c>
      <c r="I700" s="2" t="str">
        <f>IF(
  AND(
    WORKDAY(E700-1,1)=E700,
    _xlfn.CONCAT(F700:G700)=""
  ),
  _xlfn.MAXIFS(I$2:I699,C$2:C699,C700,B$2:B699,B700)+1,
  ""
)</f>
        <v/>
      </c>
    </row>
    <row r="701" spans="2:9" x14ac:dyDescent="0.25">
      <c r="B701" s="2">
        <f t="shared" si="32"/>
        <v>2027</v>
      </c>
      <c r="C701" s="2" t="str">
        <f t="shared" si="31"/>
        <v>May</v>
      </c>
      <c r="D701" s="2" t="str">
        <f t="shared" si="33"/>
        <v>Monday</v>
      </c>
      <c r="E701" s="4">
        <v>46538</v>
      </c>
      <c r="H701" s="3" t="str">
        <f>IF(OR(Table1[[#This Row],[US Holiday]]&lt;&gt;"", Table1[[#This Row],[India Holiday]]&lt;&gt;""), "Yes", "No")</f>
        <v>No</v>
      </c>
      <c r="I701" s="2">
        <f>IF(
  AND(
    WORKDAY(E701-1,1)=E701,
    _xlfn.CONCAT(F701:G701)=""
  ),
  _xlfn.MAXIFS(I$2:I700,C$2:C700,C701,B$2:B700,B701)+1,
  ""
)</f>
        <v>21</v>
      </c>
    </row>
    <row r="702" spans="2:9" x14ac:dyDescent="0.25">
      <c r="B702" s="2">
        <f t="shared" si="32"/>
        <v>2027</v>
      </c>
      <c r="C702" s="2" t="str">
        <f t="shared" si="31"/>
        <v>June</v>
      </c>
      <c r="D702" s="2" t="str">
        <f t="shared" si="33"/>
        <v>Tuesday</v>
      </c>
      <c r="E702" s="4">
        <v>46539</v>
      </c>
      <c r="H702" s="3" t="str">
        <f>IF(OR(Table1[[#This Row],[US Holiday]]&lt;&gt;"", Table1[[#This Row],[India Holiday]]&lt;&gt;""), "Yes", "No")</f>
        <v>No</v>
      </c>
      <c r="I702" s="2">
        <f>IF(
  AND(
    WORKDAY(E702-1,1)=E702,
    _xlfn.CONCAT(F702:G702)=""
  ),
  _xlfn.MAXIFS(I$2:I701,C$2:C701,C702,B$2:B701,B702)+1,
  ""
)</f>
        <v>1</v>
      </c>
    </row>
    <row r="703" spans="2:9" x14ac:dyDescent="0.25">
      <c r="B703" s="2">
        <f t="shared" si="32"/>
        <v>2027</v>
      </c>
      <c r="C703" s="2" t="str">
        <f t="shared" si="31"/>
        <v>June</v>
      </c>
      <c r="D703" s="2" t="str">
        <f t="shared" si="33"/>
        <v>Wednesday</v>
      </c>
      <c r="E703" s="4">
        <v>46540</v>
      </c>
      <c r="H703" s="3" t="str">
        <f>IF(OR(Table1[[#This Row],[US Holiday]]&lt;&gt;"", Table1[[#This Row],[India Holiday]]&lt;&gt;""), "Yes", "No")</f>
        <v>No</v>
      </c>
      <c r="I703" s="2">
        <f>IF(
  AND(
    WORKDAY(E703-1,1)=E703,
    _xlfn.CONCAT(F703:G703)=""
  ),
  _xlfn.MAXIFS(I$2:I702,C$2:C702,C703,B$2:B702,B703)+1,
  ""
)</f>
        <v>2</v>
      </c>
    </row>
    <row r="704" spans="2:9" x14ac:dyDescent="0.25">
      <c r="B704" s="2">
        <f t="shared" si="32"/>
        <v>2027</v>
      </c>
      <c r="C704" s="2" t="str">
        <f t="shared" si="31"/>
        <v>June</v>
      </c>
      <c r="D704" s="2" t="str">
        <f t="shared" si="33"/>
        <v>Thursday</v>
      </c>
      <c r="E704" s="4">
        <v>46541</v>
      </c>
      <c r="H704" s="3" t="str">
        <f>IF(OR(Table1[[#This Row],[US Holiday]]&lt;&gt;"", Table1[[#This Row],[India Holiday]]&lt;&gt;""), "Yes", "No")</f>
        <v>No</v>
      </c>
      <c r="I704" s="2">
        <f>IF(
  AND(
    WORKDAY(E704-1,1)=E704,
    _xlfn.CONCAT(F704:G704)=""
  ),
  _xlfn.MAXIFS(I$2:I703,C$2:C703,C704,B$2:B703,B704)+1,
  ""
)</f>
        <v>3</v>
      </c>
    </row>
    <row r="705" spans="2:9" x14ac:dyDescent="0.25">
      <c r="B705" s="2">
        <f t="shared" si="32"/>
        <v>2027</v>
      </c>
      <c r="C705" s="2" t="str">
        <f t="shared" ref="C705:C768" si="34">TEXT(E705,"mmmm")</f>
        <v>June</v>
      </c>
      <c r="D705" s="2" t="str">
        <f t="shared" si="33"/>
        <v>Friday</v>
      </c>
      <c r="E705" s="4">
        <v>46542</v>
      </c>
      <c r="H705" s="3" t="str">
        <f>IF(OR(Table1[[#This Row],[US Holiday]]&lt;&gt;"", Table1[[#This Row],[India Holiday]]&lt;&gt;""), "Yes", "No")</f>
        <v>No</v>
      </c>
      <c r="I705" s="2">
        <f>IF(
  AND(
    WORKDAY(E705-1,1)=E705,
    _xlfn.CONCAT(F705:G705)=""
  ),
  _xlfn.MAXIFS(I$2:I704,C$2:C704,C705,B$2:B704,B705)+1,
  ""
)</f>
        <v>4</v>
      </c>
    </row>
    <row r="706" spans="2:9" x14ac:dyDescent="0.25">
      <c r="B706" s="2">
        <f t="shared" si="32"/>
        <v>2027</v>
      </c>
      <c r="C706" s="2" t="str">
        <f t="shared" si="34"/>
        <v>June</v>
      </c>
      <c r="D706" s="2" t="str">
        <f t="shared" si="33"/>
        <v>Saturday</v>
      </c>
      <c r="E706" s="4">
        <v>46543</v>
      </c>
      <c r="H706" s="3" t="str">
        <f>IF(OR(Table1[[#This Row],[US Holiday]]&lt;&gt;"", Table1[[#This Row],[India Holiday]]&lt;&gt;""), "Yes", "No")</f>
        <v>No</v>
      </c>
      <c r="I706" s="2" t="str">
        <f>IF(
  AND(
    WORKDAY(E706-1,1)=E706,
    _xlfn.CONCAT(F706:G706)=""
  ),
  _xlfn.MAXIFS(I$2:I705,C$2:C705,C706,B$2:B705,B706)+1,
  ""
)</f>
        <v/>
      </c>
    </row>
    <row r="707" spans="2:9" x14ac:dyDescent="0.25">
      <c r="B707" s="2">
        <f t="shared" ref="B707:B770" si="35">YEAR(E707)</f>
        <v>2027</v>
      </c>
      <c r="C707" s="2" t="str">
        <f t="shared" si="34"/>
        <v>June</v>
      </c>
      <c r="D707" s="2" t="str">
        <f t="shared" ref="D707:D770" si="36">TEXT(E707,"dddd")</f>
        <v>Sunday</v>
      </c>
      <c r="E707" s="4">
        <v>46544</v>
      </c>
      <c r="H707" s="3" t="str">
        <f>IF(OR(Table1[[#This Row],[US Holiday]]&lt;&gt;"", Table1[[#This Row],[India Holiday]]&lt;&gt;""), "Yes", "No")</f>
        <v>No</v>
      </c>
      <c r="I707" s="2" t="str">
        <f>IF(
  AND(
    WORKDAY(E707-1,1)=E707,
    _xlfn.CONCAT(F707:G707)=""
  ),
  _xlfn.MAXIFS(I$2:I706,C$2:C706,C707,B$2:B706,B707)+1,
  ""
)</f>
        <v/>
      </c>
    </row>
    <row r="708" spans="2:9" x14ac:dyDescent="0.25">
      <c r="B708" s="2">
        <f t="shared" si="35"/>
        <v>2027</v>
      </c>
      <c r="C708" s="2" t="str">
        <f t="shared" si="34"/>
        <v>June</v>
      </c>
      <c r="D708" s="2" t="str">
        <f t="shared" si="36"/>
        <v>Monday</v>
      </c>
      <c r="E708" s="4">
        <v>46545</v>
      </c>
      <c r="H708" s="3" t="str">
        <f>IF(OR(Table1[[#This Row],[US Holiday]]&lt;&gt;"", Table1[[#This Row],[India Holiday]]&lt;&gt;""), "Yes", "No")</f>
        <v>No</v>
      </c>
      <c r="I708" s="2">
        <f>IF(
  AND(
    WORKDAY(E708-1,1)=E708,
    _xlfn.CONCAT(F708:G708)=""
  ),
  _xlfn.MAXIFS(I$2:I707,C$2:C707,C708,B$2:B707,B708)+1,
  ""
)</f>
        <v>5</v>
      </c>
    </row>
    <row r="709" spans="2:9" x14ac:dyDescent="0.25">
      <c r="B709" s="2">
        <f t="shared" si="35"/>
        <v>2027</v>
      </c>
      <c r="C709" s="2" t="str">
        <f t="shared" si="34"/>
        <v>June</v>
      </c>
      <c r="D709" s="2" t="str">
        <f t="shared" si="36"/>
        <v>Tuesday</v>
      </c>
      <c r="E709" s="4">
        <v>46546</v>
      </c>
      <c r="H709" s="3" t="str">
        <f>IF(OR(Table1[[#This Row],[US Holiday]]&lt;&gt;"", Table1[[#This Row],[India Holiday]]&lt;&gt;""), "Yes", "No")</f>
        <v>No</v>
      </c>
      <c r="I709" s="2">
        <f>IF(
  AND(
    WORKDAY(E709-1,1)=E709,
    _xlfn.CONCAT(F709:G709)=""
  ),
  _xlfn.MAXIFS(I$2:I708,C$2:C708,C709,B$2:B708,B709)+1,
  ""
)</f>
        <v>6</v>
      </c>
    </row>
    <row r="710" spans="2:9" x14ac:dyDescent="0.25">
      <c r="B710" s="2">
        <f t="shared" si="35"/>
        <v>2027</v>
      </c>
      <c r="C710" s="2" t="str">
        <f t="shared" si="34"/>
        <v>June</v>
      </c>
      <c r="D710" s="2" t="str">
        <f t="shared" si="36"/>
        <v>Wednesday</v>
      </c>
      <c r="E710" s="4">
        <v>46547</v>
      </c>
      <c r="H710" s="3" t="str">
        <f>IF(OR(Table1[[#This Row],[US Holiday]]&lt;&gt;"", Table1[[#This Row],[India Holiday]]&lt;&gt;""), "Yes", "No")</f>
        <v>No</v>
      </c>
      <c r="I710" s="2">
        <f>IF(
  AND(
    WORKDAY(E710-1,1)=E710,
    _xlfn.CONCAT(F710:G710)=""
  ),
  _xlfn.MAXIFS(I$2:I709,C$2:C709,C710,B$2:B709,B710)+1,
  ""
)</f>
        <v>7</v>
      </c>
    </row>
    <row r="711" spans="2:9" x14ac:dyDescent="0.25">
      <c r="B711" s="2">
        <f t="shared" si="35"/>
        <v>2027</v>
      </c>
      <c r="C711" s="2" t="str">
        <f t="shared" si="34"/>
        <v>June</v>
      </c>
      <c r="D711" s="2" t="str">
        <f t="shared" si="36"/>
        <v>Thursday</v>
      </c>
      <c r="E711" s="4">
        <v>46548</v>
      </c>
      <c r="H711" s="3" t="str">
        <f>IF(OR(Table1[[#This Row],[US Holiday]]&lt;&gt;"", Table1[[#This Row],[India Holiday]]&lt;&gt;""), "Yes", "No")</f>
        <v>No</v>
      </c>
      <c r="I711" s="2">
        <f>IF(
  AND(
    WORKDAY(E711-1,1)=E711,
    _xlfn.CONCAT(F711:G711)=""
  ),
  _xlfn.MAXIFS(I$2:I710,C$2:C710,C711,B$2:B710,B711)+1,
  ""
)</f>
        <v>8</v>
      </c>
    </row>
    <row r="712" spans="2:9" x14ac:dyDescent="0.25">
      <c r="B712" s="2">
        <f t="shared" si="35"/>
        <v>2027</v>
      </c>
      <c r="C712" s="2" t="str">
        <f t="shared" si="34"/>
        <v>June</v>
      </c>
      <c r="D712" s="2" t="str">
        <f t="shared" si="36"/>
        <v>Friday</v>
      </c>
      <c r="E712" s="4">
        <v>46549</v>
      </c>
      <c r="H712" s="3" t="str">
        <f>IF(OR(Table1[[#This Row],[US Holiday]]&lt;&gt;"", Table1[[#This Row],[India Holiday]]&lt;&gt;""), "Yes", "No")</f>
        <v>No</v>
      </c>
      <c r="I712" s="2">
        <f>IF(
  AND(
    WORKDAY(E712-1,1)=E712,
    _xlfn.CONCAT(F712:G712)=""
  ),
  _xlfn.MAXIFS(I$2:I711,C$2:C711,C712,B$2:B711,B712)+1,
  ""
)</f>
        <v>9</v>
      </c>
    </row>
    <row r="713" spans="2:9" x14ac:dyDescent="0.25">
      <c r="B713" s="2">
        <f t="shared" si="35"/>
        <v>2027</v>
      </c>
      <c r="C713" s="2" t="str">
        <f t="shared" si="34"/>
        <v>June</v>
      </c>
      <c r="D713" s="2" t="str">
        <f t="shared" si="36"/>
        <v>Saturday</v>
      </c>
      <c r="E713" s="4">
        <v>46550</v>
      </c>
      <c r="H713" s="3" t="str">
        <f>IF(OR(Table1[[#This Row],[US Holiday]]&lt;&gt;"", Table1[[#This Row],[India Holiday]]&lt;&gt;""), "Yes", "No")</f>
        <v>No</v>
      </c>
      <c r="I713" s="2" t="str">
        <f>IF(
  AND(
    WORKDAY(E713-1,1)=E713,
    _xlfn.CONCAT(F713:G713)=""
  ),
  _xlfn.MAXIFS(I$2:I712,C$2:C712,C713,B$2:B712,B713)+1,
  ""
)</f>
        <v/>
      </c>
    </row>
    <row r="714" spans="2:9" x14ac:dyDescent="0.25">
      <c r="B714" s="2">
        <f t="shared" si="35"/>
        <v>2027</v>
      </c>
      <c r="C714" s="2" t="str">
        <f t="shared" si="34"/>
        <v>June</v>
      </c>
      <c r="D714" s="2" t="str">
        <f t="shared" si="36"/>
        <v>Sunday</v>
      </c>
      <c r="E714" s="4">
        <v>46551</v>
      </c>
      <c r="H714" s="3" t="str">
        <f>IF(OR(Table1[[#This Row],[US Holiday]]&lt;&gt;"", Table1[[#This Row],[India Holiday]]&lt;&gt;""), "Yes", "No")</f>
        <v>No</v>
      </c>
      <c r="I714" s="2" t="str">
        <f>IF(
  AND(
    WORKDAY(E714-1,1)=E714,
    _xlfn.CONCAT(F714:G714)=""
  ),
  _xlfn.MAXIFS(I$2:I713,C$2:C713,C714,B$2:B713,B714)+1,
  ""
)</f>
        <v/>
      </c>
    </row>
    <row r="715" spans="2:9" x14ac:dyDescent="0.25">
      <c r="B715" s="2">
        <f t="shared" si="35"/>
        <v>2027</v>
      </c>
      <c r="C715" s="2" t="str">
        <f t="shared" si="34"/>
        <v>June</v>
      </c>
      <c r="D715" s="2" t="str">
        <f t="shared" si="36"/>
        <v>Monday</v>
      </c>
      <c r="E715" s="4">
        <v>46552</v>
      </c>
      <c r="H715" s="3" t="str">
        <f>IF(OR(Table1[[#This Row],[US Holiday]]&lt;&gt;"", Table1[[#This Row],[India Holiday]]&lt;&gt;""), "Yes", "No")</f>
        <v>No</v>
      </c>
      <c r="I715" s="2">
        <f>IF(
  AND(
    WORKDAY(E715-1,1)=E715,
    _xlfn.CONCAT(F715:G715)=""
  ),
  _xlfn.MAXIFS(I$2:I714,C$2:C714,C715,B$2:B714,B715)+1,
  ""
)</f>
        <v>10</v>
      </c>
    </row>
    <row r="716" spans="2:9" x14ac:dyDescent="0.25">
      <c r="B716" s="2">
        <f t="shared" si="35"/>
        <v>2027</v>
      </c>
      <c r="C716" s="2" t="str">
        <f t="shared" si="34"/>
        <v>June</v>
      </c>
      <c r="D716" s="2" t="str">
        <f t="shared" si="36"/>
        <v>Tuesday</v>
      </c>
      <c r="E716" s="4">
        <v>46553</v>
      </c>
      <c r="H716" s="3" t="str">
        <f>IF(OR(Table1[[#This Row],[US Holiday]]&lt;&gt;"", Table1[[#This Row],[India Holiday]]&lt;&gt;""), "Yes", "No")</f>
        <v>No</v>
      </c>
      <c r="I716" s="2">
        <f>IF(
  AND(
    WORKDAY(E716-1,1)=E716,
    _xlfn.CONCAT(F716:G716)=""
  ),
  _xlfn.MAXIFS(I$2:I715,C$2:C715,C716,B$2:B715,B716)+1,
  ""
)</f>
        <v>11</v>
      </c>
    </row>
    <row r="717" spans="2:9" x14ac:dyDescent="0.25">
      <c r="B717" s="2">
        <f t="shared" si="35"/>
        <v>2027</v>
      </c>
      <c r="C717" s="2" t="str">
        <f t="shared" si="34"/>
        <v>June</v>
      </c>
      <c r="D717" s="2" t="str">
        <f t="shared" si="36"/>
        <v>Wednesday</v>
      </c>
      <c r="E717" s="4">
        <v>46554</v>
      </c>
      <c r="H717" s="3" t="str">
        <f>IF(OR(Table1[[#This Row],[US Holiday]]&lt;&gt;"", Table1[[#This Row],[India Holiday]]&lt;&gt;""), "Yes", "No")</f>
        <v>No</v>
      </c>
      <c r="I717" s="2">
        <f>IF(
  AND(
    WORKDAY(E717-1,1)=E717,
    _xlfn.CONCAT(F717:G717)=""
  ),
  _xlfn.MAXIFS(I$2:I716,C$2:C716,C717,B$2:B716,B717)+1,
  ""
)</f>
        <v>12</v>
      </c>
    </row>
    <row r="718" spans="2:9" x14ac:dyDescent="0.25">
      <c r="B718" s="2">
        <f t="shared" si="35"/>
        <v>2027</v>
      </c>
      <c r="C718" s="2" t="str">
        <f t="shared" si="34"/>
        <v>June</v>
      </c>
      <c r="D718" s="2" t="str">
        <f t="shared" si="36"/>
        <v>Thursday</v>
      </c>
      <c r="E718" s="4">
        <v>46555</v>
      </c>
      <c r="H718" s="3" t="str">
        <f>IF(OR(Table1[[#This Row],[US Holiday]]&lt;&gt;"", Table1[[#This Row],[India Holiday]]&lt;&gt;""), "Yes", "No")</f>
        <v>No</v>
      </c>
      <c r="I718" s="2">
        <f>IF(
  AND(
    WORKDAY(E718-1,1)=E718,
    _xlfn.CONCAT(F718:G718)=""
  ),
  _xlfn.MAXIFS(I$2:I717,C$2:C717,C718,B$2:B717,B718)+1,
  ""
)</f>
        <v>13</v>
      </c>
    </row>
    <row r="719" spans="2:9" x14ac:dyDescent="0.25">
      <c r="B719" s="2">
        <f t="shared" si="35"/>
        <v>2027</v>
      </c>
      <c r="C719" s="2" t="str">
        <f t="shared" si="34"/>
        <v>June</v>
      </c>
      <c r="D719" s="2" t="str">
        <f t="shared" si="36"/>
        <v>Friday</v>
      </c>
      <c r="E719" s="4">
        <v>46556</v>
      </c>
      <c r="H719" s="3" t="str">
        <f>IF(OR(Table1[[#This Row],[US Holiday]]&lt;&gt;"", Table1[[#This Row],[India Holiday]]&lt;&gt;""), "Yes", "No")</f>
        <v>No</v>
      </c>
      <c r="I719" s="2">
        <f>IF(
  AND(
    WORKDAY(E719-1,1)=E719,
    _xlfn.CONCAT(F719:G719)=""
  ),
  _xlfn.MAXIFS(I$2:I718,C$2:C718,C719,B$2:B718,B719)+1,
  ""
)</f>
        <v>14</v>
      </c>
    </row>
    <row r="720" spans="2:9" x14ac:dyDescent="0.25">
      <c r="B720" s="2">
        <f t="shared" si="35"/>
        <v>2027</v>
      </c>
      <c r="C720" s="2" t="str">
        <f t="shared" si="34"/>
        <v>June</v>
      </c>
      <c r="D720" s="2" t="str">
        <f t="shared" si="36"/>
        <v>Saturday</v>
      </c>
      <c r="E720" s="4">
        <v>46557</v>
      </c>
      <c r="H720" s="3" t="str">
        <f>IF(OR(Table1[[#This Row],[US Holiday]]&lt;&gt;"", Table1[[#This Row],[India Holiday]]&lt;&gt;""), "Yes", "No")</f>
        <v>No</v>
      </c>
      <c r="I720" s="2" t="str">
        <f>IF(
  AND(
    WORKDAY(E720-1,1)=E720,
    _xlfn.CONCAT(F720:G720)=""
  ),
  _xlfn.MAXIFS(I$2:I719,C$2:C719,C720,B$2:B719,B720)+1,
  ""
)</f>
        <v/>
      </c>
    </row>
    <row r="721" spans="2:9" x14ac:dyDescent="0.25">
      <c r="B721" s="2">
        <f t="shared" si="35"/>
        <v>2027</v>
      </c>
      <c r="C721" s="2" t="str">
        <f t="shared" si="34"/>
        <v>June</v>
      </c>
      <c r="D721" s="2" t="str">
        <f t="shared" si="36"/>
        <v>Sunday</v>
      </c>
      <c r="E721" s="4">
        <v>46558</v>
      </c>
      <c r="H721" s="3" t="str">
        <f>IF(OR(Table1[[#This Row],[US Holiday]]&lt;&gt;"", Table1[[#This Row],[India Holiday]]&lt;&gt;""), "Yes", "No")</f>
        <v>No</v>
      </c>
      <c r="I721" s="2" t="str">
        <f>IF(
  AND(
    WORKDAY(E721-1,1)=E721,
    _xlfn.CONCAT(F721:G721)=""
  ),
  _xlfn.MAXIFS(I$2:I720,C$2:C720,C721,B$2:B720,B721)+1,
  ""
)</f>
        <v/>
      </c>
    </row>
    <row r="722" spans="2:9" x14ac:dyDescent="0.25">
      <c r="B722" s="2">
        <f t="shared" si="35"/>
        <v>2027</v>
      </c>
      <c r="C722" s="2" t="str">
        <f t="shared" si="34"/>
        <v>June</v>
      </c>
      <c r="D722" s="2" t="str">
        <f t="shared" si="36"/>
        <v>Monday</v>
      </c>
      <c r="E722" s="4">
        <v>46559</v>
      </c>
      <c r="H722" s="3" t="str">
        <f>IF(OR(Table1[[#This Row],[US Holiday]]&lt;&gt;"", Table1[[#This Row],[India Holiday]]&lt;&gt;""), "Yes", "No")</f>
        <v>No</v>
      </c>
      <c r="I722" s="2">
        <f>IF(
  AND(
    WORKDAY(E722-1,1)=E722,
    _xlfn.CONCAT(F722:G722)=""
  ),
  _xlfn.MAXIFS(I$2:I721,C$2:C721,C722,B$2:B721,B722)+1,
  ""
)</f>
        <v>15</v>
      </c>
    </row>
    <row r="723" spans="2:9" x14ac:dyDescent="0.25">
      <c r="B723" s="2">
        <f t="shared" si="35"/>
        <v>2027</v>
      </c>
      <c r="C723" s="2" t="str">
        <f t="shared" si="34"/>
        <v>June</v>
      </c>
      <c r="D723" s="2" t="str">
        <f t="shared" si="36"/>
        <v>Tuesday</v>
      </c>
      <c r="E723" s="4">
        <v>46560</v>
      </c>
      <c r="H723" s="3" t="str">
        <f>IF(OR(Table1[[#This Row],[US Holiday]]&lt;&gt;"", Table1[[#This Row],[India Holiday]]&lt;&gt;""), "Yes", "No")</f>
        <v>No</v>
      </c>
      <c r="I723" s="2">
        <f>IF(
  AND(
    WORKDAY(E723-1,1)=E723,
    _xlfn.CONCAT(F723:G723)=""
  ),
  _xlfn.MAXIFS(I$2:I722,C$2:C722,C723,B$2:B722,B723)+1,
  ""
)</f>
        <v>16</v>
      </c>
    </row>
    <row r="724" spans="2:9" x14ac:dyDescent="0.25">
      <c r="B724" s="2">
        <f t="shared" si="35"/>
        <v>2027</v>
      </c>
      <c r="C724" s="2" t="str">
        <f t="shared" si="34"/>
        <v>June</v>
      </c>
      <c r="D724" s="2" t="str">
        <f t="shared" si="36"/>
        <v>Wednesday</v>
      </c>
      <c r="E724" s="4">
        <v>46561</v>
      </c>
      <c r="H724" s="3" t="str">
        <f>IF(OR(Table1[[#This Row],[US Holiday]]&lt;&gt;"", Table1[[#This Row],[India Holiday]]&lt;&gt;""), "Yes", "No")</f>
        <v>No</v>
      </c>
      <c r="I724" s="2">
        <f>IF(
  AND(
    WORKDAY(E724-1,1)=E724,
    _xlfn.CONCAT(F724:G724)=""
  ),
  _xlfn.MAXIFS(I$2:I723,C$2:C723,C724,B$2:B723,B724)+1,
  ""
)</f>
        <v>17</v>
      </c>
    </row>
    <row r="725" spans="2:9" x14ac:dyDescent="0.25">
      <c r="B725" s="2">
        <f t="shared" si="35"/>
        <v>2027</v>
      </c>
      <c r="C725" s="2" t="str">
        <f t="shared" si="34"/>
        <v>June</v>
      </c>
      <c r="D725" s="2" t="str">
        <f t="shared" si="36"/>
        <v>Thursday</v>
      </c>
      <c r="E725" s="4">
        <v>46562</v>
      </c>
      <c r="H725" s="3" t="str">
        <f>IF(OR(Table1[[#This Row],[US Holiday]]&lt;&gt;"", Table1[[#This Row],[India Holiday]]&lt;&gt;""), "Yes", "No")</f>
        <v>No</v>
      </c>
      <c r="I725" s="2">
        <f>IF(
  AND(
    WORKDAY(E725-1,1)=E725,
    _xlfn.CONCAT(F725:G725)=""
  ),
  _xlfn.MAXIFS(I$2:I724,C$2:C724,C725,B$2:B724,B725)+1,
  ""
)</f>
        <v>18</v>
      </c>
    </row>
    <row r="726" spans="2:9" x14ac:dyDescent="0.25">
      <c r="B726" s="2">
        <f t="shared" si="35"/>
        <v>2027</v>
      </c>
      <c r="C726" s="2" t="str">
        <f t="shared" si="34"/>
        <v>June</v>
      </c>
      <c r="D726" s="2" t="str">
        <f t="shared" si="36"/>
        <v>Friday</v>
      </c>
      <c r="E726" s="4">
        <v>46563</v>
      </c>
      <c r="H726" s="3" t="str">
        <f>IF(OR(Table1[[#This Row],[US Holiday]]&lt;&gt;"", Table1[[#This Row],[India Holiday]]&lt;&gt;""), "Yes", "No")</f>
        <v>No</v>
      </c>
      <c r="I726" s="2">
        <f>IF(
  AND(
    WORKDAY(E726-1,1)=E726,
    _xlfn.CONCAT(F726:G726)=""
  ),
  _xlfn.MAXIFS(I$2:I725,C$2:C725,C726,B$2:B725,B726)+1,
  ""
)</f>
        <v>19</v>
      </c>
    </row>
    <row r="727" spans="2:9" x14ac:dyDescent="0.25">
      <c r="B727" s="2">
        <f t="shared" si="35"/>
        <v>2027</v>
      </c>
      <c r="C727" s="2" t="str">
        <f t="shared" si="34"/>
        <v>June</v>
      </c>
      <c r="D727" s="2" t="str">
        <f t="shared" si="36"/>
        <v>Saturday</v>
      </c>
      <c r="E727" s="4">
        <v>46564</v>
      </c>
      <c r="H727" s="3" t="str">
        <f>IF(OR(Table1[[#This Row],[US Holiday]]&lt;&gt;"", Table1[[#This Row],[India Holiday]]&lt;&gt;""), "Yes", "No")</f>
        <v>No</v>
      </c>
      <c r="I727" s="2" t="str">
        <f>IF(
  AND(
    WORKDAY(E727-1,1)=E727,
    _xlfn.CONCAT(F727:G727)=""
  ),
  _xlfn.MAXIFS(I$2:I726,C$2:C726,C727,B$2:B726,B727)+1,
  ""
)</f>
        <v/>
      </c>
    </row>
    <row r="728" spans="2:9" x14ac:dyDescent="0.25">
      <c r="B728" s="2">
        <f t="shared" si="35"/>
        <v>2027</v>
      </c>
      <c r="C728" s="2" t="str">
        <f t="shared" si="34"/>
        <v>June</v>
      </c>
      <c r="D728" s="2" t="str">
        <f t="shared" si="36"/>
        <v>Sunday</v>
      </c>
      <c r="E728" s="4">
        <v>46565</v>
      </c>
      <c r="H728" s="3" t="str">
        <f>IF(OR(Table1[[#This Row],[US Holiday]]&lt;&gt;"", Table1[[#This Row],[India Holiday]]&lt;&gt;""), "Yes", "No")</f>
        <v>No</v>
      </c>
      <c r="I728" s="2" t="str">
        <f>IF(
  AND(
    WORKDAY(E728-1,1)=E728,
    _xlfn.CONCAT(F728:G728)=""
  ),
  _xlfn.MAXIFS(I$2:I727,C$2:C727,C728,B$2:B727,B728)+1,
  ""
)</f>
        <v/>
      </c>
    </row>
    <row r="729" spans="2:9" x14ac:dyDescent="0.25">
      <c r="B729" s="2">
        <f t="shared" si="35"/>
        <v>2027</v>
      </c>
      <c r="C729" s="2" t="str">
        <f t="shared" si="34"/>
        <v>June</v>
      </c>
      <c r="D729" s="2" t="str">
        <f t="shared" si="36"/>
        <v>Monday</v>
      </c>
      <c r="E729" s="4">
        <v>46566</v>
      </c>
      <c r="H729" s="3" t="str">
        <f>IF(OR(Table1[[#This Row],[US Holiday]]&lt;&gt;"", Table1[[#This Row],[India Holiday]]&lt;&gt;""), "Yes", "No")</f>
        <v>No</v>
      </c>
      <c r="I729" s="2">
        <f>IF(
  AND(
    WORKDAY(E729-1,1)=E729,
    _xlfn.CONCAT(F729:G729)=""
  ),
  _xlfn.MAXIFS(I$2:I728,C$2:C728,C729,B$2:B728,B729)+1,
  ""
)</f>
        <v>20</v>
      </c>
    </row>
    <row r="730" spans="2:9" x14ac:dyDescent="0.25">
      <c r="B730" s="2">
        <f t="shared" si="35"/>
        <v>2027</v>
      </c>
      <c r="C730" s="2" t="str">
        <f t="shared" si="34"/>
        <v>June</v>
      </c>
      <c r="D730" s="2" t="str">
        <f t="shared" si="36"/>
        <v>Tuesday</v>
      </c>
      <c r="E730" s="4">
        <v>46567</v>
      </c>
      <c r="H730" s="3" t="str">
        <f>IF(OR(Table1[[#This Row],[US Holiday]]&lt;&gt;"", Table1[[#This Row],[India Holiday]]&lt;&gt;""), "Yes", "No")</f>
        <v>No</v>
      </c>
      <c r="I730" s="2">
        <f>IF(
  AND(
    WORKDAY(E730-1,1)=E730,
    _xlfn.CONCAT(F730:G730)=""
  ),
  _xlfn.MAXIFS(I$2:I729,C$2:C729,C730,B$2:B729,B730)+1,
  ""
)</f>
        <v>21</v>
      </c>
    </row>
    <row r="731" spans="2:9" x14ac:dyDescent="0.25">
      <c r="B731" s="2">
        <f t="shared" si="35"/>
        <v>2027</v>
      </c>
      <c r="C731" s="2" t="str">
        <f t="shared" si="34"/>
        <v>June</v>
      </c>
      <c r="D731" s="2" t="str">
        <f t="shared" si="36"/>
        <v>Wednesday</v>
      </c>
      <c r="E731" s="4">
        <v>46568</v>
      </c>
      <c r="H731" s="3" t="str">
        <f>IF(OR(Table1[[#This Row],[US Holiday]]&lt;&gt;"", Table1[[#This Row],[India Holiday]]&lt;&gt;""), "Yes", "No")</f>
        <v>No</v>
      </c>
      <c r="I731" s="2">
        <f>IF(
  AND(
    WORKDAY(E731-1,1)=E731,
    _xlfn.CONCAT(F731:G731)=""
  ),
  _xlfn.MAXIFS(I$2:I730,C$2:C730,C731,B$2:B730,B731)+1,
  ""
)</f>
        <v>22</v>
      </c>
    </row>
    <row r="732" spans="2:9" x14ac:dyDescent="0.25">
      <c r="B732" s="2">
        <f t="shared" si="35"/>
        <v>2027</v>
      </c>
      <c r="C732" s="2" t="str">
        <f t="shared" si="34"/>
        <v>July</v>
      </c>
      <c r="D732" s="2" t="str">
        <f t="shared" si="36"/>
        <v>Thursday</v>
      </c>
      <c r="E732" s="4">
        <v>46569</v>
      </c>
      <c r="H732" s="3" t="str">
        <f>IF(OR(Table1[[#This Row],[US Holiday]]&lt;&gt;"", Table1[[#This Row],[India Holiday]]&lt;&gt;""), "Yes", "No")</f>
        <v>No</v>
      </c>
      <c r="I732" s="2">
        <f>IF(
  AND(
    WORKDAY(E732-1,1)=E732,
    _xlfn.CONCAT(F732:G732)=""
  ),
  _xlfn.MAXIFS(I$2:I731,C$2:C731,C732,B$2:B731,B732)+1,
  ""
)</f>
        <v>1</v>
      </c>
    </row>
    <row r="733" spans="2:9" x14ac:dyDescent="0.25">
      <c r="B733" s="2">
        <f t="shared" si="35"/>
        <v>2027</v>
      </c>
      <c r="C733" s="2" t="str">
        <f t="shared" si="34"/>
        <v>July</v>
      </c>
      <c r="D733" s="2" t="str">
        <f t="shared" si="36"/>
        <v>Friday</v>
      </c>
      <c r="E733" s="4">
        <v>46570</v>
      </c>
      <c r="H733" s="3" t="str">
        <f>IF(OR(Table1[[#This Row],[US Holiday]]&lt;&gt;"", Table1[[#This Row],[India Holiday]]&lt;&gt;""), "Yes", "No")</f>
        <v>No</v>
      </c>
      <c r="I733" s="2">
        <f>IF(
  AND(
    WORKDAY(E733-1,1)=E733,
    _xlfn.CONCAT(F733:G733)=""
  ),
  _xlfn.MAXIFS(I$2:I732,C$2:C732,C733,B$2:B732,B733)+1,
  ""
)</f>
        <v>2</v>
      </c>
    </row>
    <row r="734" spans="2:9" x14ac:dyDescent="0.25">
      <c r="B734" s="2">
        <f t="shared" si="35"/>
        <v>2027</v>
      </c>
      <c r="C734" s="2" t="str">
        <f t="shared" si="34"/>
        <v>July</v>
      </c>
      <c r="D734" s="2" t="str">
        <f t="shared" si="36"/>
        <v>Saturday</v>
      </c>
      <c r="E734" s="4">
        <v>46571</v>
      </c>
      <c r="H734" s="3" t="str">
        <f>IF(OR(Table1[[#This Row],[US Holiday]]&lt;&gt;"", Table1[[#This Row],[India Holiday]]&lt;&gt;""), "Yes", "No")</f>
        <v>No</v>
      </c>
      <c r="I734" s="2" t="str">
        <f>IF(
  AND(
    WORKDAY(E734-1,1)=E734,
    _xlfn.CONCAT(F734:G734)=""
  ),
  _xlfn.MAXIFS(I$2:I733,C$2:C733,C734,B$2:B733,B734)+1,
  ""
)</f>
        <v/>
      </c>
    </row>
    <row r="735" spans="2:9" x14ac:dyDescent="0.25">
      <c r="B735" s="2">
        <f t="shared" si="35"/>
        <v>2027</v>
      </c>
      <c r="C735" s="2" t="str">
        <f t="shared" si="34"/>
        <v>July</v>
      </c>
      <c r="D735" s="2" t="str">
        <f t="shared" si="36"/>
        <v>Sunday</v>
      </c>
      <c r="E735" s="4">
        <v>46572</v>
      </c>
      <c r="H735" s="3" t="str">
        <f>IF(OR(Table1[[#This Row],[US Holiday]]&lt;&gt;"", Table1[[#This Row],[India Holiday]]&lt;&gt;""), "Yes", "No")</f>
        <v>No</v>
      </c>
      <c r="I735" s="2" t="str">
        <f>IF(
  AND(
    WORKDAY(E735-1,1)=E735,
    _xlfn.CONCAT(F735:G735)=""
  ),
  _xlfn.MAXIFS(I$2:I734,C$2:C734,C735,B$2:B734,B735)+1,
  ""
)</f>
        <v/>
      </c>
    </row>
    <row r="736" spans="2:9" x14ac:dyDescent="0.25">
      <c r="B736" s="2">
        <f t="shared" si="35"/>
        <v>2027</v>
      </c>
      <c r="C736" s="2" t="str">
        <f t="shared" si="34"/>
        <v>July</v>
      </c>
      <c r="D736" s="2" t="str">
        <f t="shared" si="36"/>
        <v>Monday</v>
      </c>
      <c r="E736" s="4">
        <v>46573</v>
      </c>
      <c r="H736" s="3" t="str">
        <f>IF(OR(Table1[[#This Row],[US Holiday]]&lt;&gt;"", Table1[[#This Row],[India Holiday]]&lt;&gt;""), "Yes", "No")</f>
        <v>No</v>
      </c>
      <c r="I736" s="2">
        <f>IF(
  AND(
    WORKDAY(E736-1,1)=E736,
    _xlfn.CONCAT(F736:G736)=""
  ),
  _xlfn.MAXIFS(I$2:I735,C$2:C735,C736,B$2:B735,B736)+1,
  ""
)</f>
        <v>3</v>
      </c>
    </row>
    <row r="737" spans="2:9" x14ac:dyDescent="0.25">
      <c r="B737" s="2">
        <f t="shared" si="35"/>
        <v>2027</v>
      </c>
      <c r="C737" s="2" t="str">
        <f t="shared" si="34"/>
        <v>July</v>
      </c>
      <c r="D737" s="2" t="str">
        <f t="shared" si="36"/>
        <v>Tuesday</v>
      </c>
      <c r="E737" s="4">
        <v>46574</v>
      </c>
      <c r="H737" s="3" t="str">
        <f>IF(OR(Table1[[#This Row],[US Holiday]]&lt;&gt;"", Table1[[#This Row],[India Holiday]]&lt;&gt;""), "Yes", "No")</f>
        <v>No</v>
      </c>
      <c r="I737" s="2">
        <f>IF(
  AND(
    WORKDAY(E737-1,1)=E737,
    _xlfn.CONCAT(F737:G737)=""
  ),
  _xlfn.MAXIFS(I$2:I736,C$2:C736,C737,B$2:B736,B737)+1,
  ""
)</f>
        <v>4</v>
      </c>
    </row>
    <row r="738" spans="2:9" x14ac:dyDescent="0.25">
      <c r="B738" s="2">
        <f t="shared" si="35"/>
        <v>2027</v>
      </c>
      <c r="C738" s="2" t="str">
        <f t="shared" si="34"/>
        <v>July</v>
      </c>
      <c r="D738" s="2" t="str">
        <f t="shared" si="36"/>
        <v>Wednesday</v>
      </c>
      <c r="E738" s="4">
        <v>46575</v>
      </c>
      <c r="H738" s="3" t="str">
        <f>IF(OR(Table1[[#This Row],[US Holiday]]&lt;&gt;"", Table1[[#This Row],[India Holiday]]&lt;&gt;""), "Yes", "No")</f>
        <v>No</v>
      </c>
      <c r="I738" s="2">
        <f>IF(
  AND(
    WORKDAY(E738-1,1)=E738,
    _xlfn.CONCAT(F738:G738)=""
  ),
  _xlfn.MAXIFS(I$2:I737,C$2:C737,C738,B$2:B737,B738)+1,
  ""
)</f>
        <v>5</v>
      </c>
    </row>
    <row r="739" spans="2:9" x14ac:dyDescent="0.25">
      <c r="B739" s="2">
        <f t="shared" si="35"/>
        <v>2027</v>
      </c>
      <c r="C739" s="2" t="str">
        <f t="shared" si="34"/>
        <v>July</v>
      </c>
      <c r="D739" s="2" t="str">
        <f t="shared" si="36"/>
        <v>Thursday</v>
      </c>
      <c r="E739" s="4">
        <v>46576</v>
      </c>
      <c r="H739" s="3" t="str">
        <f>IF(OR(Table1[[#This Row],[US Holiday]]&lt;&gt;"", Table1[[#This Row],[India Holiday]]&lt;&gt;""), "Yes", "No")</f>
        <v>No</v>
      </c>
      <c r="I739" s="2">
        <f>IF(
  AND(
    WORKDAY(E739-1,1)=E739,
    _xlfn.CONCAT(F739:G739)=""
  ),
  _xlfn.MAXIFS(I$2:I738,C$2:C738,C739,B$2:B738,B739)+1,
  ""
)</f>
        <v>6</v>
      </c>
    </row>
    <row r="740" spans="2:9" x14ac:dyDescent="0.25">
      <c r="B740" s="2">
        <f t="shared" si="35"/>
        <v>2027</v>
      </c>
      <c r="C740" s="2" t="str">
        <f t="shared" si="34"/>
        <v>July</v>
      </c>
      <c r="D740" s="2" t="str">
        <f t="shared" si="36"/>
        <v>Friday</v>
      </c>
      <c r="E740" s="4">
        <v>46577</v>
      </c>
      <c r="H740" s="3" t="str">
        <f>IF(OR(Table1[[#This Row],[US Holiday]]&lt;&gt;"", Table1[[#This Row],[India Holiday]]&lt;&gt;""), "Yes", "No")</f>
        <v>No</v>
      </c>
      <c r="I740" s="2">
        <f>IF(
  AND(
    WORKDAY(E740-1,1)=E740,
    _xlfn.CONCAT(F740:G740)=""
  ),
  _xlfn.MAXIFS(I$2:I739,C$2:C739,C740,B$2:B739,B740)+1,
  ""
)</f>
        <v>7</v>
      </c>
    </row>
    <row r="741" spans="2:9" x14ac:dyDescent="0.25">
      <c r="B741" s="2">
        <f t="shared" si="35"/>
        <v>2027</v>
      </c>
      <c r="C741" s="2" t="str">
        <f t="shared" si="34"/>
        <v>July</v>
      </c>
      <c r="D741" s="2" t="str">
        <f t="shared" si="36"/>
        <v>Saturday</v>
      </c>
      <c r="E741" s="4">
        <v>46578</v>
      </c>
      <c r="H741" s="3" t="str">
        <f>IF(OR(Table1[[#This Row],[US Holiday]]&lt;&gt;"", Table1[[#This Row],[India Holiday]]&lt;&gt;""), "Yes", "No")</f>
        <v>No</v>
      </c>
      <c r="I741" s="2" t="str">
        <f>IF(
  AND(
    WORKDAY(E741-1,1)=E741,
    _xlfn.CONCAT(F741:G741)=""
  ),
  _xlfn.MAXIFS(I$2:I740,C$2:C740,C741,B$2:B740,B741)+1,
  ""
)</f>
        <v/>
      </c>
    </row>
    <row r="742" spans="2:9" x14ac:dyDescent="0.25">
      <c r="B742" s="2">
        <f t="shared" si="35"/>
        <v>2027</v>
      </c>
      <c r="C742" s="2" t="str">
        <f t="shared" si="34"/>
        <v>July</v>
      </c>
      <c r="D742" s="2" t="str">
        <f t="shared" si="36"/>
        <v>Sunday</v>
      </c>
      <c r="E742" s="4">
        <v>46579</v>
      </c>
      <c r="H742" s="3" t="str">
        <f>IF(OR(Table1[[#This Row],[US Holiday]]&lt;&gt;"", Table1[[#This Row],[India Holiday]]&lt;&gt;""), "Yes", "No")</f>
        <v>No</v>
      </c>
      <c r="I742" s="2" t="str">
        <f>IF(
  AND(
    WORKDAY(E742-1,1)=E742,
    _xlfn.CONCAT(F742:G742)=""
  ),
  _xlfn.MAXIFS(I$2:I741,C$2:C741,C742,B$2:B741,B742)+1,
  ""
)</f>
        <v/>
      </c>
    </row>
    <row r="743" spans="2:9" x14ac:dyDescent="0.25">
      <c r="B743" s="2">
        <f t="shared" si="35"/>
        <v>2027</v>
      </c>
      <c r="C743" s="2" t="str">
        <f t="shared" si="34"/>
        <v>July</v>
      </c>
      <c r="D743" s="2" t="str">
        <f t="shared" si="36"/>
        <v>Monday</v>
      </c>
      <c r="E743" s="4">
        <v>46580</v>
      </c>
      <c r="H743" s="3" t="str">
        <f>IF(OR(Table1[[#This Row],[US Holiday]]&lt;&gt;"", Table1[[#This Row],[India Holiday]]&lt;&gt;""), "Yes", "No")</f>
        <v>No</v>
      </c>
      <c r="I743" s="2">
        <f>IF(
  AND(
    WORKDAY(E743-1,1)=E743,
    _xlfn.CONCAT(F743:G743)=""
  ),
  _xlfn.MAXIFS(I$2:I742,C$2:C742,C743,B$2:B742,B743)+1,
  ""
)</f>
        <v>8</v>
      </c>
    </row>
    <row r="744" spans="2:9" x14ac:dyDescent="0.25">
      <c r="B744" s="2">
        <f t="shared" si="35"/>
        <v>2027</v>
      </c>
      <c r="C744" s="2" t="str">
        <f t="shared" si="34"/>
        <v>July</v>
      </c>
      <c r="D744" s="2" t="str">
        <f t="shared" si="36"/>
        <v>Tuesday</v>
      </c>
      <c r="E744" s="4">
        <v>46581</v>
      </c>
      <c r="H744" s="3" t="str">
        <f>IF(OR(Table1[[#This Row],[US Holiday]]&lt;&gt;"", Table1[[#This Row],[India Holiday]]&lt;&gt;""), "Yes", "No")</f>
        <v>No</v>
      </c>
      <c r="I744" s="2">
        <f>IF(
  AND(
    WORKDAY(E744-1,1)=E744,
    _xlfn.CONCAT(F744:G744)=""
  ),
  _xlfn.MAXIFS(I$2:I743,C$2:C743,C744,B$2:B743,B744)+1,
  ""
)</f>
        <v>9</v>
      </c>
    </row>
    <row r="745" spans="2:9" x14ac:dyDescent="0.25">
      <c r="B745" s="2">
        <f t="shared" si="35"/>
        <v>2027</v>
      </c>
      <c r="C745" s="2" t="str">
        <f t="shared" si="34"/>
        <v>July</v>
      </c>
      <c r="D745" s="2" t="str">
        <f t="shared" si="36"/>
        <v>Wednesday</v>
      </c>
      <c r="E745" s="4">
        <v>46582</v>
      </c>
      <c r="H745" s="3" t="str">
        <f>IF(OR(Table1[[#This Row],[US Holiday]]&lt;&gt;"", Table1[[#This Row],[India Holiday]]&lt;&gt;""), "Yes", "No")</f>
        <v>No</v>
      </c>
      <c r="I745" s="2">
        <f>IF(
  AND(
    WORKDAY(E745-1,1)=E745,
    _xlfn.CONCAT(F745:G745)=""
  ),
  _xlfn.MAXIFS(I$2:I744,C$2:C744,C745,B$2:B744,B745)+1,
  ""
)</f>
        <v>10</v>
      </c>
    </row>
    <row r="746" spans="2:9" x14ac:dyDescent="0.25">
      <c r="B746" s="2">
        <f t="shared" si="35"/>
        <v>2027</v>
      </c>
      <c r="C746" s="2" t="str">
        <f t="shared" si="34"/>
        <v>July</v>
      </c>
      <c r="D746" s="2" t="str">
        <f t="shared" si="36"/>
        <v>Thursday</v>
      </c>
      <c r="E746" s="4">
        <v>46583</v>
      </c>
      <c r="H746" s="3" t="str">
        <f>IF(OR(Table1[[#This Row],[US Holiday]]&lt;&gt;"", Table1[[#This Row],[India Holiday]]&lt;&gt;""), "Yes", "No")</f>
        <v>No</v>
      </c>
      <c r="I746" s="2">
        <f>IF(
  AND(
    WORKDAY(E746-1,1)=E746,
    _xlfn.CONCAT(F746:G746)=""
  ),
  _xlfn.MAXIFS(I$2:I745,C$2:C745,C746,B$2:B745,B746)+1,
  ""
)</f>
        <v>11</v>
      </c>
    </row>
    <row r="747" spans="2:9" x14ac:dyDescent="0.25">
      <c r="B747" s="2">
        <f t="shared" si="35"/>
        <v>2027</v>
      </c>
      <c r="C747" s="2" t="str">
        <f t="shared" si="34"/>
        <v>July</v>
      </c>
      <c r="D747" s="2" t="str">
        <f t="shared" si="36"/>
        <v>Friday</v>
      </c>
      <c r="E747" s="4">
        <v>46584</v>
      </c>
      <c r="H747" s="3" t="str">
        <f>IF(OR(Table1[[#This Row],[US Holiday]]&lt;&gt;"", Table1[[#This Row],[India Holiday]]&lt;&gt;""), "Yes", "No")</f>
        <v>No</v>
      </c>
      <c r="I747" s="2">
        <f>IF(
  AND(
    WORKDAY(E747-1,1)=E747,
    _xlfn.CONCAT(F747:G747)=""
  ),
  _xlfn.MAXIFS(I$2:I746,C$2:C746,C747,B$2:B746,B747)+1,
  ""
)</f>
        <v>12</v>
      </c>
    </row>
    <row r="748" spans="2:9" x14ac:dyDescent="0.25">
      <c r="B748" s="2">
        <f t="shared" si="35"/>
        <v>2027</v>
      </c>
      <c r="C748" s="2" t="str">
        <f t="shared" si="34"/>
        <v>July</v>
      </c>
      <c r="D748" s="2" t="str">
        <f t="shared" si="36"/>
        <v>Saturday</v>
      </c>
      <c r="E748" s="4">
        <v>46585</v>
      </c>
      <c r="H748" s="3" t="str">
        <f>IF(OR(Table1[[#This Row],[US Holiday]]&lt;&gt;"", Table1[[#This Row],[India Holiday]]&lt;&gt;""), "Yes", "No")</f>
        <v>No</v>
      </c>
      <c r="I748" s="2" t="str">
        <f>IF(
  AND(
    WORKDAY(E748-1,1)=E748,
    _xlfn.CONCAT(F748:G748)=""
  ),
  _xlfn.MAXIFS(I$2:I747,C$2:C747,C748,B$2:B747,B748)+1,
  ""
)</f>
        <v/>
      </c>
    </row>
    <row r="749" spans="2:9" x14ac:dyDescent="0.25">
      <c r="B749" s="2">
        <f t="shared" si="35"/>
        <v>2027</v>
      </c>
      <c r="C749" s="2" t="str">
        <f t="shared" si="34"/>
        <v>July</v>
      </c>
      <c r="D749" s="2" t="str">
        <f t="shared" si="36"/>
        <v>Sunday</v>
      </c>
      <c r="E749" s="4">
        <v>46586</v>
      </c>
      <c r="H749" s="3" t="str">
        <f>IF(OR(Table1[[#This Row],[US Holiday]]&lt;&gt;"", Table1[[#This Row],[India Holiday]]&lt;&gt;""), "Yes", "No")</f>
        <v>No</v>
      </c>
      <c r="I749" s="2" t="str">
        <f>IF(
  AND(
    WORKDAY(E749-1,1)=E749,
    _xlfn.CONCAT(F749:G749)=""
  ),
  _xlfn.MAXIFS(I$2:I748,C$2:C748,C749,B$2:B748,B749)+1,
  ""
)</f>
        <v/>
      </c>
    </row>
    <row r="750" spans="2:9" x14ac:dyDescent="0.25">
      <c r="B750" s="2">
        <f t="shared" si="35"/>
        <v>2027</v>
      </c>
      <c r="C750" s="2" t="str">
        <f t="shared" si="34"/>
        <v>July</v>
      </c>
      <c r="D750" s="2" t="str">
        <f t="shared" si="36"/>
        <v>Monday</v>
      </c>
      <c r="E750" s="4">
        <v>46587</v>
      </c>
      <c r="H750" s="3" t="str">
        <f>IF(OR(Table1[[#This Row],[US Holiday]]&lt;&gt;"", Table1[[#This Row],[India Holiday]]&lt;&gt;""), "Yes", "No")</f>
        <v>No</v>
      </c>
      <c r="I750" s="2">
        <f>IF(
  AND(
    WORKDAY(E750-1,1)=E750,
    _xlfn.CONCAT(F750:G750)=""
  ),
  _xlfn.MAXIFS(I$2:I749,C$2:C749,C750,B$2:B749,B750)+1,
  ""
)</f>
        <v>13</v>
      </c>
    </row>
    <row r="751" spans="2:9" x14ac:dyDescent="0.25">
      <c r="B751" s="2">
        <f t="shared" si="35"/>
        <v>2027</v>
      </c>
      <c r="C751" s="2" t="str">
        <f t="shared" si="34"/>
        <v>July</v>
      </c>
      <c r="D751" s="2" t="str">
        <f t="shared" si="36"/>
        <v>Tuesday</v>
      </c>
      <c r="E751" s="4">
        <v>46588</v>
      </c>
      <c r="H751" s="3" t="str">
        <f>IF(OR(Table1[[#This Row],[US Holiday]]&lt;&gt;"", Table1[[#This Row],[India Holiday]]&lt;&gt;""), "Yes", "No")</f>
        <v>No</v>
      </c>
      <c r="I751" s="2">
        <f>IF(
  AND(
    WORKDAY(E751-1,1)=E751,
    _xlfn.CONCAT(F751:G751)=""
  ),
  _xlfn.MAXIFS(I$2:I750,C$2:C750,C751,B$2:B750,B751)+1,
  ""
)</f>
        <v>14</v>
      </c>
    </row>
    <row r="752" spans="2:9" x14ac:dyDescent="0.25">
      <c r="B752" s="2">
        <f t="shared" si="35"/>
        <v>2027</v>
      </c>
      <c r="C752" s="2" t="str">
        <f t="shared" si="34"/>
        <v>July</v>
      </c>
      <c r="D752" s="2" t="str">
        <f t="shared" si="36"/>
        <v>Wednesday</v>
      </c>
      <c r="E752" s="4">
        <v>46589</v>
      </c>
      <c r="H752" s="3" t="str">
        <f>IF(OR(Table1[[#This Row],[US Holiday]]&lt;&gt;"", Table1[[#This Row],[India Holiday]]&lt;&gt;""), "Yes", "No")</f>
        <v>No</v>
      </c>
      <c r="I752" s="2">
        <f>IF(
  AND(
    WORKDAY(E752-1,1)=E752,
    _xlfn.CONCAT(F752:G752)=""
  ),
  _xlfn.MAXIFS(I$2:I751,C$2:C751,C752,B$2:B751,B752)+1,
  ""
)</f>
        <v>15</v>
      </c>
    </row>
    <row r="753" spans="2:9" x14ac:dyDescent="0.25">
      <c r="B753" s="2">
        <f t="shared" si="35"/>
        <v>2027</v>
      </c>
      <c r="C753" s="2" t="str">
        <f t="shared" si="34"/>
        <v>July</v>
      </c>
      <c r="D753" s="2" t="str">
        <f t="shared" si="36"/>
        <v>Thursday</v>
      </c>
      <c r="E753" s="4">
        <v>46590</v>
      </c>
      <c r="H753" s="3" t="str">
        <f>IF(OR(Table1[[#This Row],[US Holiday]]&lt;&gt;"", Table1[[#This Row],[India Holiday]]&lt;&gt;""), "Yes", "No")</f>
        <v>No</v>
      </c>
      <c r="I753" s="2">
        <f>IF(
  AND(
    WORKDAY(E753-1,1)=E753,
    _xlfn.CONCAT(F753:G753)=""
  ),
  _xlfn.MAXIFS(I$2:I752,C$2:C752,C753,B$2:B752,B753)+1,
  ""
)</f>
        <v>16</v>
      </c>
    </row>
    <row r="754" spans="2:9" x14ac:dyDescent="0.25">
      <c r="B754" s="2">
        <f t="shared" si="35"/>
        <v>2027</v>
      </c>
      <c r="C754" s="2" t="str">
        <f t="shared" si="34"/>
        <v>July</v>
      </c>
      <c r="D754" s="2" t="str">
        <f t="shared" si="36"/>
        <v>Friday</v>
      </c>
      <c r="E754" s="4">
        <v>46591</v>
      </c>
      <c r="H754" s="3" t="str">
        <f>IF(OR(Table1[[#This Row],[US Holiday]]&lt;&gt;"", Table1[[#This Row],[India Holiday]]&lt;&gt;""), "Yes", "No")</f>
        <v>No</v>
      </c>
      <c r="I754" s="2">
        <f>IF(
  AND(
    WORKDAY(E754-1,1)=E754,
    _xlfn.CONCAT(F754:G754)=""
  ),
  _xlfn.MAXIFS(I$2:I753,C$2:C753,C754,B$2:B753,B754)+1,
  ""
)</f>
        <v>17</v>
      </c>
    </row>
    <row r="755" spans="2:9" x14ac:dyDescent="0.25">
      <c r="B755" s="2">
        <f t="shared" si="35"/>
        <v>2027</v>
      </c>
      <c r="C755" s="2" t="str">
        <f t="shared" si="34"/>
        <v>July</v>
      </c>
      <c r="D755" s="2" t="str">
        <f t="shared" si="36"/>
        <v>Saturday</v>
      </c>
      <c r="E755" s="4">
        <v>46592</v>
      </c>
      <c r="H755" s="3" t="str">
        <f>IF(OR(Table1[[#This Row],[US Holiday]]&lt;&gt;"", Table1[[#This Row],[India Holiday]]&lt;&gt;""), "Yes", "No")</f>
        <v>No</v>
      </c>
      <c r="I755" s="2" t="str">
        <f>IF(
  AND(
    WORKDAY(E755-1,1)=E755,
    _xlfn.CONCAT(F755:G755)=""
  ),
  _xlfn.MAXIFS(I$2:I754,C$2:C754,C755,B$2:B754,B755)+1,
  ""
)</f>
        <v/>
      </c>
    </row>
    <row r="756" spans="2:9" x14ac:dyDescent="0.25">
      <c r="B756" s="2">
        <f t="shared" si="35"/>
        <v>2027</v>
      </c>
      <c r="C756" s="2" t="str">
        <f t="shared" si="34"/>
        <v>July</v>
      </c>
      <c r="D756" s="2" t="str">
        <f t="shared" si="36"/>
        <v>Sunday</v>
      </c>
      <c r="E756" s="4">
        <v>46593</v>
      </c>
      <c r="H756" s="3" t="str">
        <f>IF(OR(Table1[[#This Row],[US Holiday]]&lt;&gt;"", Table1[[#This Row],[India Holiday]]&lt;&gt;""), "Yes", "No")</f>
        <v>No</v>
      </c>
      <c r="I756" s="2" t="str">
        <f>IF(
  AND(
    WORKDAY(E756-1,1)=E756,
    _xlfn.CONCAT(F756:G756)=""
  ),
  _xlfn.MAXIFS(I$2:I755,C$2:C755,C756,B$2:B755,B756)+1,
  ""
)</f>
        <v/>
      </c>
    </row>
    <row r="757" spans="2:9" x14ac:dyDescent="0.25">
      <c r="B757" s="2">
        <f t="shared" si="35"/>
        <v>2027</v>
      </c>
      <c r="C757" s="2" t="str">
        <f t="shared" si="34"/>
        <v>July</v>
      </c>
      <c r="D757" s="2" t="str">
        <f t="shared" si="36"/>
        <v>Monday</v>
      </c>
      <c r="E757" s="4">
        <v>46594</v>
      </c>
      <c r="H757" s="3" t="str">
        <f>IF(OR(Table1[[#This Row],[US Holiday]]&lt;&gt;"", Table1[[#This Row],[India Holiday]]&lt;&gt;""), "Yes", "No")</f>
        <v>No</v>
      </c>
      <c r="I757" s="2">
        <f>IF(
  AND(
    WORKDAY(E757-1,1)=E757,
    _xlfn.CONCAT(F757:G757)=""
  ),
  _xlfn.MAXIFS(I$2:I756,C$2:C756,C757,B$2:B756,B757)+1,
  ""
)</f>
        <v>18</v>
      </c>
    </row>
    <row r="758" spans="2:9" x14ac:dyDescent="0.25">
      <c r="B758" s="2">
        <f t="shared" si="35"/>
        <v>2027</v>
      </c>
      <c r="C758" s="2" t="str">
        <f t="shared" si="34"/>
        <v>July</v>
      </c>
      <c r="D758" s="2" t="str">
        <f t="shared" si="36"/>
        <v>Tuesday</v>
      </c>
      <c r="E758" s="4">
        <v>46595</v>
      </c>
      <c r="H758" s="3" t="str">
        <f>IF(OR(Table1[[#This Row],[US Holiday]]&lt;&gt;"", Table1[[#This Row],[India Holiday]]&lt;&gt;""), "Yes", "No")</f>
        <v>No</v>
      </c>
      <c r="I758" s="2">
        <f>IF(
  AND(
    WORKDAY(E758-1,1)=E758,
    _xlfn.CONCAT(F758:G758)=""
  ),
  _xlfn.MAXIFS(I$2:I757,C$2:C757,C758,B$2:B757,B758)+1,
  ""
)</f>
        <v>19</v>
      </c>
    </row>
    <row r="759" spans="2:9" x14ac:dyDescent="0.25">
      <c r="B759" s="2">
        <f t="shared" si="35"/>
        <v>2027</v>
      </c>
      <c r="C759" s="2" t="str">
        <f t="shared" si="34"/>
        <v>July</v>
      </c>
      <c r="D759" s="2" t="str">
        <f t="shared" si="36"/>
        <v>Wednesday</v>
      </c>
      <c r="E759" s="4">
        <v>46596</v>
      </c>
      <c r="H759" s="3" t="str">
        <f>IF(OR(Table1[[#This Row],[US Holiday]]&lt;&gt;"", Table1[[#This Row],[India Holiday]]&lt;&gt;""), "Yes", "No")</f>
        <v>No</v>
      </c>
      <c r="I759" s="2">
        <f>IF(
  AND(
    WORKDAY(E759-1,1)=E759,
    _xlfn.CONCAT(F759:G759)=""
  ),
  _xlfn.MAXIFS(I$2:I758,C$2:C758,C759,B$2:B758,B759)+1,
  ""
)</f>
        <v>20</v>
      </c>
    </row>
    <row r="760" spans="2:9" x14ac:dyDescent="0.25">
      <c r="B760" s="2">
        <f t="shared" si="35"/>
        <v>2027</v>
      </c>
      <c r="C760" s="2" t="str">
        <f t="shared" si="34"/>
        <v>July</v>
      </c>
      <c r="D760" s="2" t="str">
        <f t="shared" si="36"/>
        <v>Thursday</v>
      </c>
      <c r="E760" s="4">
        <v>46597</v>
      </c>
      <c r="H760" s="3" t="str">
        <f>IF(OR(Table1[[#This Row],[US Holiday]]&lt;&gt;"", Table1[[#This Row],[India Holiday]]&lt;&gt;""), "Yes", "No")</f>
        <v>No</v>
      </c>
      <c r="I760" s="2">
        <f>IF(
  AND(
    WORKDAY(E760-1,1)=E760,
    _xlfn.CONCAT(F760:G760)=""
  ),
  _xlfn.MAXIFS(I$2:I759,C$2:C759,C760,B$2:B759,B760)+1,
  ""
)</f>
        <v>21</v>
      </c>
    </row>
    <row r="761" spans="2:9" x14ac:dyDescent="0.25">
      <c r="B761" s="2">
        <f t="shared" si="35"/>
        <v>2027</v>
      </c>
      <c r="C761" s="2" t="str">
        <f t="shared" si="34"/>
        <v>July</v>
      </c>
      <c r="D761" s="2" t="str">
        <f t="shared" si="36"/>
        <v>Friday</v>
      </c>
      <c r="E761" s="4">
        <v>46598</v>
      </c>
      <c r="H761" s="3" t="str">
        <f>IF(OR(Table1[[#This Row],[US Holiday]]&lt;&gt;"", Table1[[#This Row],[India Holiday]]&lt;&gt;""), "Yes", "No")</f>
        <v>No</v>
      </c>
      <c r="I761" s="2">
        <f>IF(
  AND(
    WORKDAY(E761-1,1)=E761,
    _xlfn.CONCAT(F761:G761)=""
  ),
  _xlfn.MAXIFS(I$2:I760,C$2:C760,C761,B$2:B760,B761)+1,
  ""
)</f>
        <v>22</v>
      </c>
    </row>
    <row r="762" spans="2:9" x14ac:dyDescent="0.25">
      <c r="B762" s="2">
        <f t="shared" si="35"/>
        <v>2027</v>
      </c>
      <c r="C762" s="2" t="str">
        <f t="shared" si="34"/>
        <v>July</v>
      </c>
      <c r="D762" s="2" t="str">
        <f t="shared" si="36"/>
        <v>Saturday</v>
      </c>
      <c r="E762" s="4">
        <v>46599</v>
      </c>
      <c r="H762" s="3" t="str">
        <f>IF(OR(Table1[[#This Row],[US Holiday]]&lt;&gt;"", Table1[[#This Row],[India Holiday]]&lt;&gt;""), "Yes", "No")</f>
        <v>No</v>
      </c>
      <c r="I762" s="2" t="str">
        <f>IF(
  AND(
    WORKDAY(E762-1,1)=E762,
    _xlfn.CONCAT(F762:G762)=""
  ),
  _xlfn.MAXIFS(I$2:I761,C$2:C761,C762,B$2:B761,B762)+1,
  ""
)</f>
        <v/>
      </c>
    </row>
    <row r="763" spans="2:9" x14ac:dyDescent="0.25">
      <c r="B763" s="2">
        <f t="shared" si="35"/>
        <v>2027</v>
      </c>
      <c r="C763" s="2" t="str">
        <f t="shared" si="34"/>
        <v>August</v>
      </c>
      <c r="D763" s="2" t="str">
        <f t="shared" si="36"/>
        <v>Sunday</v>
      </c>
      <c r="E763" s="4">
        <v>46600</v>
      </c>
      <c r="H763" s="3" t="str">
        <f>IF(OR(Table1[[#This Row],[US Holiday]]&lt;&gt;"", Table1[[#This Row],[India Holiday]]&lt;&gt;""), "Yes", "No")</f>
        <v>No</v>
      </c>
      <c r="I763" s="2" t="str">
        <f>IF(
  AND(
    WORKDAY(E763-1,1)=E763,
    _xlfn.CONCAT(F763:G763)=""
  ),
  _xlfn.MAXIFS(I$2:I762,C$2:C762,C763,B$2:B762,B763)+1,
  ""
)</f>
        <v/>
      </c>
    </row>
    <row r="764" spans="2:9" x14ac:dyDescent="0.25">
      <c r="B764" s="2">
        <f t="shared" si="35"/>
        <v>2027</v>
      </c>
      <c r="C764" s="2" t="str">
        <f t="shared" si="34"/>
        <v>August</v>
      </c>
      <c r="D764" s="2" t="str">
        <f t="shared" si="36"/>
        <v>Monday</v>
      </c>
      <c r="E764" s="4">
        <v>46601</v>
      </c>
      <c r="H764" s="3" t="str">
        <f>IF(OR(Table1[[#This Row],[US Holiday]]&lt;&gt;"", Table1[[#This Row],[India Holiday]]&lt;&gt;""), "Yes", "No")</f>
        <v>No</v>
      </c>
      <c r="I764" s="2">
        <f>IF(
  AND(
    WORKDAY(E764-1,1)=E764,
    _xlfn.CONCAT(F764:G764)=""
  ),
  _xlfn.MAXIFS(I$2:I763,C$2:C763,C764,B$2:B763,B764)+1,
  ""
)</f>
        <v>1</v>
      </c>
    </row>
    <row r="765" spans="2:9" x14ac:dyDescent="0.25">
      <c r="B765" s="2">
        <f t="shared" si="35"/>
        <v>2027</v>
      </c>
      <c r="C765" s="2" t="str">
        <f t="shared" si="34"/>
        <v>August</v>
      </c>
      <c r="D765" s="2" t="str">
        <f t="shared" si="36"/>
        <v>Tuesday</v>
      </c>
      <c r="E765" s="4">
        <v>46602</v>
      </c>
      <c r="H765" s="3" t="str">
        <f>IF(OR(Table1[[#This Row],[US Holiday]]&lt;&gt;"", Table1[[#This Row],[India Holiday]]&lt;&gt;""), "Yes", "No")</f>
        <v>No</v>
      </c>
      <c r="I765" s="2">
        <f>IF(
  AND(
    WORKDAY(E765-1,1)=E765,
    _xlfn.CONCAT(F765:G765)=""
  ),
  _xlfn.MAXIFS(I$2:I764,C$2:C764,C765,B$2:B764,B765)+1,
  ""
)</f>
        <v>2</v>
      </c>
    </row>
    <row r="766" spans="2:9" x14ac:dyDescent="0.25">
      <c r="B766" s="2">
        <f t="shared" si="35"/>
        <v>2027</v>
      </c>
      <c r="C766" s="2" t="str">
        <f t="shared" si="34"/>
        <v>August</v>
      </c>
      <c r="D766" s="2" t="str">
        <f t="shared" si="36"/>
        <v>Wednesday</v>
      </c>
      <c r="E766" s="4">
        <v>46603</v>
      </c>
      <c r="H766" s="3" t="str">
        <f>IF(OR(Table1[[#This Row],[US Holiday]]&lt;&gt;"", Table1[[#This Row],[India Holiday]]&lt;&gt;""), "Yes", "No")</f>
        <v>No</v>
      </c>
      <c r="I766" s="2">
        <f>IF(
  AND(
    WORKDAY(E766-1,1)=E766,
    _xlfn.CONCAT(F766:G766)=""
  ),
  _xlfn.MAXIFS(I$2:I765,C$2:C765,C766,B$2:B765,B766)+1,
  ""
)</f>
        <v>3</v>
      </c>
    </row>
    <row r="767" spans="2:9" x14ac:dyDescent="0.25">
      <c r="B767" s="2">
        <f t="shared" si="35"/>
        <v>2027</v>
      </c>
      <c r="C767" s="2" t="str">
        <f t="shared" si="34"/>
        <v>August</v>
      </c>
      <c r="D767" s="2" t="str">
        <f t="shared" si="36"/>
        <v>Thursday</v>
      </c>
      <c r="E767" s="4">
        <v>46604</v>
      </c>
      <c r="H767" s="3" t="str">
        <f>IF(OR(Table1[[#This Row],[US Holiday]]&lt;&gt;"", Table1[[#This Row],[India Holiday]]&lt;&gt;""), "Yes", "No")</f>
        <v>No</v>
      </c>
      <c r="I767" s="2">
        <f>IF(
  AND(
    WORKDAY(E767-1,1)=E767,
    _xlfn.CONCAT(F767:G767)=""
  ),
  _xlfn.MAXIFS(I$2:I766,C$2:C766,C767,B$2:B766,B767)+1,
  ""
)</f>
        <v>4</v>
      </c>
    </row>
    <row r="768" spans="2:9" x14ac:dyDescent="0.25">
      <c r="B768" s="2">
        <f t="shared" si="35"/>
        <v>2027</v>
      </c>
      <c r="C768" s="2" t="str">
        <f t="shared" si="34"/>
        <v>August</v>
      </c>
      <c r="D768" s="2" t="str">
        <f t="shared" si="36"/>
        <v>Friday</v>
      </c>
      <c r="E768" s="4">
        <v>46605</v>
      </c>
      <c r="H768" s="3" t="str">
        <f>IF(OR(Table1[[#This Row],[US Holiday]]&lt;&gt;"", Table1[[#This Row],[India Holiday]]&lt;&gt;""), "Yes", "No")</f>
        <v>No</v>
      </c>
      <c r="I768" s="2">
        <f>IF(
  AND(
    WORKDAY(E768-1,1)=E768,
    _xlfn.CONCAT(F768:G768)=""
  ),
  _xlfn.MAXIFS(I$2:I767,C$2:C767,C768,B$2:B767,B768)+1,
  ""
)</f>
        <v>5</v>
      </c>
    </row>
    <row r="769" spans="2:9" x14ac:dyDescent="0.25">
      <c r="B769" s="2">
        <f t="shared" si="35"/>
        <v>2027</v>
      </c>
      <c r="C769" s="2" t="str">
        <f t="shared" ref="C769:C781" si="37">TEXT(E769,"mmmm")</f>
        <v>August</v>
      </c>
      <c r="D769" s="2" t="str">
        <f t="shared" si="36"/>
        <v>Saturday</v>
      </c>
      <c r="E769" s="4">
        <v>46606</v>
      </c>
      <c r="H769" s="3" t="str">
        <f>IF(OR(Table1[[#This Row],[US Holiday]]&lt;&gt;"", Table1[[#This Row],[India Holiday]]&lt;&gt;""), "Yes", "No")</f>
        <v>No</v>
      </c>
      <c r="I769" s="2" t="str">
        <f>IF(
  AND(
    WORKDAY(E769-1,1)=E769,
    _xlfn.CONCAT(F769:G769)=""
  ),
  _xlfn.MAXIFS(I$2:I768,C$2:C768,C769,B$2:B768,B769)+1,
  ""
)</f>
        <v/>
      </c>
    </row>
    <row r="770" spans="2:9" x14ac:dyDescent="0.25">
      <c r="B770" s="2">
        <f t="shared" si="35"/>
        <v>2027</v>
      </c>
      <c r="C770" s="2" t="str">
        <f t="shared" si="37"/>
        <v>August</v>
      </c>
      <c r="D770" s="2" t="str">
        <f t="shared" si="36"/>
        <v>Sunday</v>
      </c>
      <c r="E770" s="4">
        <v>46607</v>
      </c>
      <c r="H770" s="3" t="str">
        <f>IF(OR(Table1[[#This Row],[US Holiday]]&lt;&gt;"", Table1[[#This Row],[India Holiday]]&lt;&gt;""), "Yes", "No")</f>
        <v>No</v>
      </c>
      <c r="I770" s="2" t="str">
        <f>IF(
  AND(
    WORKDAY(E770-1,1)=E770,
    _xlfn.CONCAT(F770:G770)=""
  ),
  _xlfn.MAXIFS(I$2:I769,C$2:C769,C770,B$2:B769,B770)+1,
  ""
)</f>
        <v/>
      </c>
    </row>
    <row r="771" spans="2:9" x14ac:dyDescent="0.25">
      <c r="B771" s="2">
        <f t="shared" ref="B771:B781" si="38">YEAR(E771)</f>
        <v>2027</v>
      </c>
      <c r="C771" s="2" t="str">
        <f t="shared" si="37"/>
        <v>August</v>
      </c>
      <c r="D771" s="2" t="str">
        <f t="shared" ref="D771:D834" si="39">TEXT(E771,"dddd")</f>
        <v>Monday</v>
      </c>
      <c r="E771" s="4">
        <v>46608</v>
      </c>
      <c r="H771" s="3" t="str">
        <f>IF(OR(Table1[[#This Row],[US Holiday]]&lt;&gt;"", Table1[[#This Row],[India Holiday]]&lt;&gt;""), "Yes", "No")</f>
        <v>No</v>
      </c>
      <c r="I771" s="2">
        <f>IF(
  AND(
    WORKDAY(E771-1,1)=E771,
    _xlfn.CONCAT(F771:G771)=""
  ),
  _xlfn.MAXIFS(I$2:I770,C$2:C770,C771,B$2:B770,B771)+1,
  ""
)</f>
        <v>6</v>
      </c>
    </row>
    <row r="772" spans="2:9" x14ac:dyDescent="0.25">
      <c r="B772" s="2">
        <f t="shared" si="38"/>
        <v>2027</v>
      </c>
      <c r="C772" s="2" t="str">
        <f t="shared" si="37"/>
        <v>August</v>
      </c>
      <c r="D772" s="2" t="str">
        <f t="shared" si="39"/>
        <v>Tuesday</v>
      </c>
      <c r="E772" s="4">
        <v>46609</v>
      </c>
      <c r="H772" s="3" t="str">
        <f>IF(OR(Table1[[#This Row],[US Holiday]]&lt;&gt;"", Table1[[#This Row],[India Holiday]]&lt;&gt;""), "Yes", "No")</f>
        <v>No</v>
      </c>
      <c r="I772" s="2">
        <f>IF(
  AND(
    WORKDAY(E772-1,1)=E772,
    _xlfn.CONCAT(F772:G772)=""
  ),
  _xlfn.MAXIFS(I$2:I771,C$2:C771,C772,B$2:B771,B772)+1,
  ""
)</f>
        <v>7</v>
      </c>
    </row>
    <row r="773" spans="2:9" x14ac:dyDescent="0.25">
      <c r="B773" s="2">
        <f t="shared" si="38"/>
        <v>2027</v>
      </c>
      <c r="C773" s="2" t="str">
        <f t="shared" si="37"/>
        <v>August</v>
      </c>
      <c r="D773" s="2" t="str">
        <f t="shared" si="39"/>
        <v>Wednesday</v>
      </c>
      <c r="E773" s="4">
        <v>46610</v>
      </c>
      <c r="H773" s="3" t="str">
        <f>IF(OR(Table1[[#This Row],[US Holiday]]&lt;&gt;"", Table1[[#This Row],[India Holiday]]&lt;&gt;""), "Yes", "No")</f>
        <v>No</v>
      </c>
      <c r="I773" s="2">
        <f>IF(
  AND(
    WORKDAY(E773-1,1)=E773,
    _xlfn.CONCAT(F773:G773)=""
  ),
  _xlfn.MAXIFS(I$2:I772,C$2:C772,C773,B$2:B772,B773)+1,
  ""
)</f>
        <v>8</v>
      </c>
    </row>
    <row r="774" spans="2:9" x14ac:dyDescent="0.25">
      <c r="B774" s="2">
        <f t="shared" si="38"/>
        <v>2027</v>
      </c>
      <c r="C774" s="2" t="str">
        <f t="shared" si="37"/>
        <v>August</v>
      </c>
      <c r="D774" s="2" t="str">
        <f t="shared" si="39"/>
        <v>Thursday</v>
      </c>
      <c r="E774" s="4">
        <v>46611</v>
      </c>
      <c r="H774" s="3" t="str">
        <f>IF(OR(Table1[[#This Row],[US Holiday]]&lt;&gt;"", Table1[[#This Row],[India Holiday]]&lt;&gt;""), "Yes", "No")</f>
        <v>No</v>
      </c>
      <c r="I774" s="2">
        <f>IF(
  AND(
    WORKDAY(E774-1,1)=E774,
    _xlfn.CONCAT(F774:G774)=""
  ),
  _xlfn.MAXIFS(I$2:I773,C$2:C773,C774,B$2:B773,B774)+1,
  ""
)</f>
        <v>9</v>
      </c>
    </row>
    <row r="775" spans="2:9" x14ac:dyDescent="0.25">
      <c r="B775" s="2">
        <f t="shared" si="38"/>
        <v>2027</v>
      </c>
      <c r="C775" s="2" t="str">
        <f t="shared" si="37"/>
        <v>August</v>
      </c>
      <c r="D775" s="2" t="str">
        <f t="shared" si="39"/>
        <v>Friday</v>
      </c>
      <c r="E775" s="4">
        <v>46612</v>
      </c>
      <c r="H775" s="3" t="str">
        <f>IF(OR(Table1[[#This Row],[US Holiday]]&lt;&gt;"", Table1[[#This Row],[India Holiday]]&lt;&gt;""), "Yes", "No")</f>
        <v>No</v>
      </c>
      <c r="I775" s="2">
        <f>IF(
  AND(
    WORKDAY(E775-1,1)=E775,
    _xlfn.CONCAT(F775:G775)=""
  ),
  _xlfn.MAXIFS(I$2:I774,C$2:C774,C775,B$2:B774,B775)+1,
  ""
)</f>
        <v>10</v>
      </c>
    </row>
    <row r="776" spans="2:9" x14ac:dyDescent="0.25">
      <c r="B776" s="2">
        <f t="shared" si="38"/>
        <v>2027</v>
      </c>
      <c r="C776" s="2" t="str">
        <f t="shared" si="37"/>
        <v>August</v>
      </c>
      <c r="D776" s="2" t="str">
        <f t="shared" si="39"/>
        <v>Saturday</v>
      </c>
      <c r="E776" s="4">
        <v>46613</v>
      </c>
      <c r="H776" s="3" t="str">
        <f>IF(OR(Table1[[#This Row],[US Holiday]]&lt;&gt;"", Table1[[#This Row],[India Holiday]]&lt;&gt;""), "Yes", "No")</f>
        <v>No</v>
      </c>
      <c r="I776" s="2" t="str">
        <f>IF(
  AND(
    WORKDAY(E776-1,1)=E776,
    _xlfn.CONCAT(F776:G776)=""
  ),
  _xlfn.MAXIFS(I$2:I775,C$2:C775,C776,B$2:B775,B776)+1,
  ""
)</f>
        <v/>
      </c>
    </row>
    <row r="777" spans="2:9" x14ac:dyDescent="0.25">
      <c r="B777" s="2">
        <f t="shared" si="38"/>
        <v>2027</v>
      </c>
      <c r="C777" s="2" t="str">
        <f t="shared" si="37"/>
        <v>August</v>
      </c>
      <c r="D777" s="2" t="str">
        <f t="shared" si="39"/>
        <v>Sunday</v>
      </c>
      <c r="E777" s="4">
        <v>46614</v>
      </c>
      <c r="H777" s="3" t="str">
        <f>IF(OR(Table1[[#This Row],[US Holiday]]&lt;&gt;"", Table1[[#This Row],[India Holiday]]&lt;&gt;""), "Yes", "No")</f>
        <v>No</v>
      </c>
      <c r="I777" s="2" t="str">
        <f>IF(
  AND(
    WORKDAY(E777-1,1)=E777,
    _xlfn.CONCAT(F777:G777)=""
  ),
  _xlfn.MAXIFS(I$2:I776,C$2:C776,C777,B$2:B776,B777)+1,
  ""
)</f>
        <v/>
      </c>
    </row>
    <row r="778" spans="2:9" x14ac:dyDescent="0.25">
      <c r="B778" s="2">
        <f t="shared" si="38"/>
        <v>2027</v>
      </c>
      <c r="C778" s="2" t="str">
        <f t="shared" si="37"/>
        <v>August</v>
      </c>
      <c r="D778" s="2" t="str">
        <f t="shared" si="39"/>
        <v>Monday</v>
      </c>
      <c r="E778" s="4">
        <v>46615</v>
      </c>
      <c r="H778" s="3" t="str">
        <f>IF(OR(Table1[[#This Row],[US Holiday]]&lt;&gt;"", Table1[[#This Row],[India Holiday]]&lt;&gt;""), "Yes", "No")</f>
        <v>No</v>
      </c>
      <c r="I778" s="2">
        <f>IF(
  AND(
    WORKDAY(E778-1,1)=E778,
    _xlfn.CONCAT(F778:G778)=""
  ),
  _xlfn.MAXIFS(I$2:I777,C$2:C777,C778,B$2:B777,B778)+1,
  ""
)</f>
        <v>11</v>
      </c>
    </row>
    <row r="779" spans="2:9" x14ac:dyDescent="0.25">
      <c r="B779" s="2">
        <f t="shared" si="38"/>
        <v>2027</v>
      </c>
      <c r="C779" s="2" t="str">
        <f t="shared" si="37"/>
        <v>August</v>
      </c>
      <c r="D779" s="2" t="str">
        <f t="shared" si="39"/>
        <v>Tuesday</v>
      </c>
      <c r="E779" s="4">
        <v>46616</v>
      </c>
      <c r="H779" s="3" t="str">
        <f>IF(OR(Table1[[#This Row],[US Holiday]]&lt;&gt;"", Table1[[#This Row],[India Holiday]]&lt;&gt;""), "Yes", "No")</f>
        <v>No</v>
      </c>
      <c r="I779" s="2">
        <f>IF(
  AND(
    WORKDAY(E779-1,1)=E779,
    _xlfn.CONCAT(F779:G779)=""
  ),
  _xlfn.MAXIFS(I$2:I778,C$2:C778,C779,B$2:B778,B779)+1,
  ""
)</f>
        <v>12</v>
      </c>
    </row>
    <row r="780" spans="2:9" x14ac:dyDescent="0.25">
      <c r="B780" s="2">
        <f t="shared" si="38"/>
        <v>2027</v>
      </c>
      <c r="C780" s="2" t="str">
        <f t="shared" si="37"/>
        <v>August</v>
      </c>
      <c r="D780" s="2" t="str">
        <f t="shared" si="39"/>
        <v>Wednesday</v>
      </c>
      <c r="E780" s="4">
        <v>46617</v>
      </c>
      <c r="H780" s="3" t="str">
        <f>IF(OR(Table1[[#This Row],[US Holiday]]&lt;&gt;"", Table1[[#This Row],[India Holiday]]&lt;&gt;""), "Yes", "No")</f>
        <v>No</v>
      </c>
      <c r="I780" s="2">
        <f>IF(
  AND(
    WORKDAY(E780-1,1)=E780,
    _xlfn.CONCAT(F780:G780)=""
  ),
  _xlfn.MAXIFS(I$2:I779,C$2:C779,C780,B$2:B779,B780)+1,
  ""
)</f>
        <v>13</v>
      </c>
    </row>
    <row r="781" spans="2:9" x14ac:dyDescent="0.25">
      <c r="B781" s="2">
        <f t="shared" si="38"/>
        <v>2027</v>
      </c>
      <c r="C781" s="2" t="str">
        <f t="shared" si="37"/>
        <v>August</v>
      </c>
      <c r="D781" s="2" t="str">
        <f t="shared" si="39"/>
        <v>Thursday</v>
      </c>
      <c r="E781" s="4">
        <v>46618</v>
      </c>
      <c r="H781" s="3" t="str">
        <f>IF(OR(Table1[[#This Row],[US Holiday]]&lt;&gt;"", Table1[[#This Row],[India Holiday]]&lt;&gt;""), "Yes", "No")</f>
        <v>No</v>
      </c>
      <c r="I781" s="2">
        <f>IF(
  AND(
    WORKDAY(E781-1,1)=E781,
    _xlfn.CONCAT(F781:G781)=""
  ),
  _xlfn.MAXIFS(I$2:I780,C$2:C780,C781,B$2:B780,B781)+1,
  ""
)</f>
        <v>14</v>
      </c>
    </row>
    <row r="782" spans="2:9" x14ac:dyDescent="0.25">
      <c r="B782" s="2">
        <f t="shared" ref="B782:B845" si="40">YEAR(E782)</f>
        <v>2027</v>
      </c>
      <c r="C782" s="2" t="str">
        <f t="shared" ref="C782:C845" si="41">TEXT(E782,"mmmm")</f>
        <v>August</v>
      </c>
      <c r="D782" s="2" t="str">
        <f t="shared" si="39"/>
        <v>Friday</v>
      </c>
      <c r="E782" s="4">
        <v>46619</v>
      </c>
      <c r="H782" s="3" t="str">
        <f>IF(OR(Table1[[#This Row],[US Holiday]]&lt;&gt;"", Table1[[#This Row],[India Holiday]]&lt;&gt;""), "Yes", "No")</f>
        <v>No</v>
      </c>
      <c r="I782" s="2">
        <f>IF(
  AND(
    WORKDAY(E782-1,1)=E782,
    _xlfn.CONCAT(F782:G782)=""
  ),
  _xlfn.MAXIFS(I$2:I781,C$2:C781,C782,B$2:B781,B782)+1,
  ""
)</f>
        <v>15</v>
      </c>
    </row>
    <row r="783" spans="2:9" x14ac:dyDescent="0.25">
      <c r="B783" s="2">
        <f t="shared" si="40"/>
        <v>2027</v>
      </c>
      <c r="C783" s="2" t="str">
        <f t="shared" si="41"/>
        <v>August</v>
      </c>
      <c r="D783" s="2" t="str">
        <f t="shared" si="39"/>
        <v>Saturday</v>
      </c>
      <c r="E783" s="4">
        <v>46620</v>
      </c>
      <c r="H783" s="3" t="str">
        <f>IF(OR(Table1[[#This Row],[US Holiday]]&lt;&gt;"", Table1[[#This Row],[India Holiday]]&lt;&gt;""), "Yes", "No")</f>
        <v>No</v>
      </c>
      <c r="I783" s="2" t="str">
        <f>IF(
  AND(
    WORKDAY(E783-1,1)=E783,
    _xlfn.CONCAT(F783:G783)=""
  ),
  _xlfn.MAXIFS(I$2:I782,C$2:C782,C783,B$2:B782,B783)+1,
  ""
)</f>
        <v/>
      </c>
    </row>
    <row r="784" spans="2:9" x14ac:dyDescent="0.25">
      <c r="B784" s="2">
        <f t="shared" si="40"/>
        <v>2027</v>
      </c>
      <c r="C784" s="2" t="str">
        <f t="shared" si="41"/>
        <v>August</v>
      </c>
      <c r="D784" s="2" t="str">
        <f t="shared" si="39"/>
        <v>Sunday</v>
      </c>
      <c r="E784" s="4">
        <v>46621</v>
      </c>
      <c r="H784" s="3" t="str">
        <f>IF(OR(Table1[[#This Row],[US Holiday]]&lt;&gt;"", Table1[[#This Row],[India Holiday]]&lt;&gt;""), "Yes", "No")</f>
        <v>No</v>
      </c>
      <c r="I784" s="2" t="str">
        <f>IF(
  AND(
    WORKDAY(E784-1,1)=E784,
    _xlfn.CONCAT(F784:G784)=""
  ),
  _xlfn.MAXIFS(I$2:I783,C$2:C783,C784,B$2:B783,B784)+1,
  ""
)</f>
        <v/>
      </c>
    </row>
    <row r="785" spans="2:9" x14ac:dyDescent="0.25">
      <c r="B785" s="2">
        <f t="shared" si="40"/>
        <v>2027</v>
      </c>
      <c r="C785" s="2" t="str">
        <f t="shared" si="41"/>
        <v>August</v>
      </c>
      <c r="D785" s="2" t="str">
        <f t="shared" si="39"/>
        <v>Monday</v>
      </c>
      <c r="E785" s="4">
        <v>46622</v>
      </c>
      <c r="H785" s="3" t="str">
        <f>IF(OR(Table1[[#This Row],[US Holiday]]&lt;&gt;"", Table1[[#This Row],[India Holiday]]&lt;&gt;""), "Yes", "No")</f>
        <v>No</v>
      </c>
      <c r="I785" s="2">
        <f>IF(
  AND(
    WORKDAY(E785-1,1)=E785,
    _xlfn.CONCAT(F785:G785)=""
  ),
  _xlfn.MAXIFS(I$2:I784,C$2:C784,C785,B$2:B784,B785)+1,
  ""
)</f>
        <v>16</v>
      </c>
    </row>
    <row r="786" spans="2:9" x14ac:dyDescent="0.25">
      <c r="B786" s="2">
        <f t="shared" si="40"/>
        <v>2027</v>
      </c>
      <c r="C786" s="2" t="str">
        <f t="shared" si="41"/>
        <v>August</v>
      </c>
      <c r="D786" s="2" t="str">
        <f t="shared" si="39"/>
        <v>Tuesday</v>
      </c>
      <c r="E786" s="4">
        <v>46623</v>
      </c>
      <c r="H786" s="3" t="str">
        <f>IF(OR(Table1[[#This Row],[US Holiday]]&lt;&gt;"", Table1[[#This Row],[India Holiday]]&lt;&gt;""), "Yes", "No")</f>
        <v>No</v>
      </c>
      <c r="I786" s="2">
        <f>IF(
  AND(
    WORKDAY(E786-1,1)=E786,
    _xlfn.CONCAT(F786:G786)=""
  ),
  _xlfn.MAXIFS(I$2:I785,C$2:C785,C786,B$2:B785,B786)+1,
  ""
)</f>
        <v>17</v>
      </c>
    </row>
    <row r="787" spans="2:9" x14ac:dyDescent="0.25">
      <c r="B787" s="2">
        <f t="shared" si="40"/>
        <v>2027</v>
      </c>
      <c r="C787" s="2" t="str">
        <f t="shared" si="41"/>
        <v>August</v>
      </c>
      <c r="D787" s="2" t="str">
        <f t="shared" si="39"/>
        <v>Wednesday</v>
      </c>
      <c r="E787" s="4">
        <v>46624</v>
      </c>
      <c r="H787" s="3" t="str">
        <f>IF(OR(Table1[[#This Row],[US Holiday]]&lt;&gt;"", Table1[[#This Row],[India Holiday]]&lt;&gt;""), "Yes", "No")</f>
        <v>No</v>
      </c>
      <c r="I787" s="2">
        <f>IF(
  AND(
    WORKDAY(E787-1,1)=E787,
    _xlfn.CONCAT(F787:G787)=""
  ),
  _xlfn.MAXIFS(I$2:I786,C$2:C786,C787,B$2:B786,B787)+1,
  ""
)</f>
        <v>18</v>
      </c>
    </row>
    <row r="788" spans="2:9" x14ac:dyDescent="0.25">
      <c r="B788" s="2">
        <f t="shared" si="40"/>
        <v>2027</v>
      </c>
      <c r="C788" s="2" t="str">
        <f t="shared" si="41"/>
        <v>August</v>
      </c>
      <c r="D788" s="2" t="str">
        <f t="shared" si="39"/>
        <v>Thursday</v>
      </c>
      <c r="E788" s="4">
        <v>46625</v>
      </c>
      <c r="H788" s="3" t="str">
        <f>IF(OR(Table1[[#This Row],[US Holiday]]&lt;&gt;"", Table1[[#This Row],[India Holiday]]&lt;&gt;""), "Yes", "No")</f>
        <v>No</v>
      </c>
      <c r="I788" s="2">
        <f>IF(
  AND(
    WORKDAY(E788-1,1)=E788,
    _xlfn.CONCAT(F788:G788)=""
  ),
  _xlfn.MAXIFS(I$2:I787,C$2:C787,C788,B$2:B787,B788)+1,
  ""
)</f>
        <v>19</v>
      </c>
    </row>
    <row r="789" spans="2:9" x14ac:dyDescent="0.25">
      <c r="B789" s="2">
        <f t="shared" si="40"/>
        <v>2027</v>
      </c>
      <c r="C789" s="2" t="str">
        <f t="shared" si="41"/>
        <v>August</v>
      </c>
      <c r="D789" s="2" t="str">
        <f t="shared" si="39"/>
        <v>Friday</v>
      </c>
      <c r="E789" s="4">
        <v>46626</v>
      </c>
      <c r="H789" s="3" t="str">
        <f>IF(OR(Table1[[#This Row],[US Holiday]]&lt;&gt;"", Table1[[#This Row],[India Holiday]]&lt;&gt;""), "Yes", "No")</f>
        <v>No</v>
      </c>
      <c r="I789" s="2">
        <f>IF(
  AND(
    WORKDAY(E789-1,1)=E789,
    _xlfn.CONCAT(F789:G789)=""
  ),
  _xlfn.MAXIFS(I$2:I788,C$2:C788,C789,B$2:B788,B789)+1,
  ""
)</f>
        <v>20</v>
      </c>
    </row>
    <row r="790" spans="2:9" x14ac:dyDescent="0.25">
      <c r="B790" s="2">
        <f t="shared" si="40"/>
        <v>2027</v>
      </c>
      <c r="C790" s="2" t="str">
        <f t="shared" si="41"/>
        <v>August</v>
      </c>
      <c r="D790" s="2" t="str">
        <f t="shared" si="39"/>
        <v>Saturday</v>
      </c>
      <c r="E790" s="4">
        <v>46627</v>
      </c>
      <c r="H790" s="3" t="str">
        <f>IF(OR(Table1[[#This Row],[US Holiday]]&lt;&gt;"", Table1[[#This Row],[India Holiday]]&lt;&gt;""), "Yes", "No")</f>
        <v>No</v>
      </c>
      <c r="I790" s="2" t="str">
        <f>IF(
  AND(
    WORKDAY(E790-1,1)=E790,
    _xlfn.CONCAT(F790:G790)=""
  ),
  _xlfn.MAXIFS(I$2:I789,C$2:C789,C790,B$2:B789,B790)+1,
  ""
)</f>
        <v/>
      </c>
    </row>
    <row r="791" spans="2:9" x14ac:dyDescent="0.25">
      <c r="B791" s="2">
        <f t="shared" si="40"/>
        <v>2027</v>
      </c>
      <c r="C791" s="2" t="str">
        <f t="shared" si="41"/>
        <v>August</v>
      </c>
      <c r="D791" s="2" t="str">
        <f t="shared" si="39"/>
        <v>Sunday</v>
      </c>
      <c r="E791" s="4">
        <v>46628</v>
      </c>
      <c r="H791" s="3" t="str">
        <f>IF(OR(Table1[[#This Row],[US Holiday]]&lt;&gt;"", Table1[[#This Row],[India Holiday]]&lt;&gt;""), "Yes", "No")</f>
        <v>No</v>
      </c>
      <c r="I791" s="2" t="str">
        <f>IF(
  AND(
    WORKDAY(E791-1,1)=E791,
    _xlfn.CONCAT(F791:G791)=""
  ),
  _xlfn.MAXIFS(I$2:I790,C$2:C790,C791,B$2:B790,B791)+1,
  ""
)</f>
        <v/>
      </c>
    </row>
    <row r="792" spans="2:9" x14ac:dyDescent="0.25">
      <c r="B792" s="2">
        <f t="shared" si="40"/>
        <v>2027</v>
      </c>
      <c r="C792" s="2" t="str">
        <f t="shared" si="41"/>
        <v>August</v>
      </c>
      <c r="D792" s="2" t="str">
        <f t="shared" si="39"/>
        <v>Monday</v>
      </c>
      <c r="E792" s="4">
        <v>46629</v>
      </c>
      <c r="H792" s="3" t="str">
        <f>IF(OR(Table1[[#This Row],[US Holiday]]&lt;&gt;"", Table1[[#This Row],[India Holiday]]&lt;&gt;""), "Yes", "No")</f>
        <v>No</v>
      </c>
      <c r="I792" s="2">
        <f>IF(
  AND(
    WORKDAY(E792-1,1)=E792,
    _xlfn.CONCAT(F792:G792)=""
  ),
  _xlfn.MAXIFS(I$2:I791,C$2:C791,C792,B$2:B791,B792)+1,
  ""
)</f>
        <v>21</v>
      </c>
    </row>
    <row r="793" spans="2:9" x14ac:dyDescent="0.25">
      <c r="B793" s="2">
        <f t="shared" si="40"/>
        <v>2027</v>
      </c>
      <c r="C793" s="2" t="str">
        <f t="shared" si="41"/>
        <v>August</v>
      </c>
      <c r="D793" s="2" t="str">
        <f t="shared" si="39"/>
        <v>Tuesday</v>
      </c>
      <c r="E793" s="4">
        <v>46630</v>
      </c>
      <c r="H793" s="3" t="str">
        <f>IF(OR(Table1[[#This Row],[US Holiday]]&lt;&gt;"", Table1[[#This Row],[India Holiday]]&lt;&gt;""), "Yes", "No")</f>
        <v>No</v>
      </c>
      <c r="I793" s="2">
        <f>IF(
  AND(
    WORKDAY(E793-1,1)=E793,
    _xlfn.CONCAT(F793:G793)=""
  ),
  _xlfn.MAXIFS(I$2:I792,C$2:C792,C793,B$2:B792,B793)+1,
  ""
)</f>
        <v>22</v>
      </c>
    </row>
    <row r="794" spans="2:9" x14ac:dyDescent="0.25">
      <c r="B794" s="2">
        <f t="shared" si="40"/>
        <v>2027</v>
      </c>
      <c r="C794" s="2" t="str">
        <f t="shared" si="41"/>
        <v>September</v>
      </c>
      <c r="D794" s="2" t="str">
        <f t="shared" si="39"/>
        <v>Wednesday</v>
      </c>
      <c r="E794" s="4">
        <v>46631</v>
      </c>
      <c r="H794" s="3" t="str">
        <f>IF(OR(Table1[[#This Row],[US Holiday]]&lt;&gt;"", Table1[[#This Row],[India Holiday]]&lt;&gt;""), "Yes", "No")</f>
        <v>No</v>
      </c>
      <c r="I794" s="2">
        <f>IF(
  AND(
    WORKDAY(E794-1,1)=E794,
    _xlfn.CONCAT(F794:G794)=""
  ),
  _xlfn.MAXIFS(I$2:I793,C$2:C793,C794,B$2:B793,B794)+1,
  ""
)</f>
        <v>1</v>
      </c>
    </row>
    <row r="795" spans="2:9" x14ac:dyDescent="0.25">
      <c r="B795" s="2">
        <f t="shared" si="40"/>
        <v>2027</v>
      </c>
      <c r="C795" s="2" t="str">
        <f t="shared" si="41"/>
        <v>September</v>
      </c>
      <c r="D795" s="2" t="str">
        <f t="shared" si="39"/>
        <v>Thursday</v>
      </c>
      <c r="E795" s="4">
        <v>46632</v>
      </c>
      <c r="H795" s="3" t="str">
        <f>IF(OR(Table1[[#This Row],[US Holiday]]&lt;&gt;"", Table1[[#This Row],[India Holiday]]&lt;&gt;""), "Yes", "No")</f>
        <v>No</v>
      </c>
      <c r="I795" s="2">
        <f>IF(
  AND(
    WORKDAY(E795-1,1)=E795,
    _xlfn.CONCAT(F795:G795)=""
  ),
  _xlfn.MAXIFS(I$2:I794,C$2:C794,C795,B$2:B794,B795)+1,
  ""
)</f>
        <v>2</v>
      </c>
    </row>
    <row r="796" spans="2:9" x14ac:dyDescent="0.25">
      <c r="B796" s="2">
        <f t="shared" si="40"/>
        <v>2027</v>
      </c>
      <c r="C796" s="2" t="str">
        <f t="shared" si="41"/>
        <v>September</v>
      </c>
      <c r="D796" s="2" t="str">
        <f t="shared" si="39"/>
        <v>Friday</v>
      </c>
      <c r="E796" s="4">
        <v>46633</v>
      </c>
      <c r="H796" s="3" t="str">
        <f>IF(OR(Table1[[#This Row],[US Holiday]]&lt;&gt;"", Table1[[#This Row],[India Holiday]]&lt;&gt;""), "Yes", "No")</f>
        <v>No</v>
      </c>
      <c r="I796" s="2">
        <f>IF(
  AND(
    WORKDAY(E796-1,1)=E796,
    _xlfn.CONCAT(F796:G796)=""
  ),
  _xlfn.MAXIFS(I$2:I795,C$2:C795,C796,B$2:B795,B796)+1,
  ""
)</f>
        <v>3</v>
      </c>
    </row>
    <row r="797" spans="2:9" x14ac:dyDescent="0.25">
      <c r="B797" s="2">
        <f t="shared" si="40"/>
        <v>2027</v>
      </c>
      <c r="C797" s="2" t="str">
        <f t="shared" si="41"/>
        <v>September</v>
      </c>
      <c r="D797" s="2" t="str">
        <f t="shared" si="39"/>
        <v>Saturday</v>
      </c>
      <c r="E797" s="4">
        <v>46634</v>
      </c>
      <c r="H797" s="3" t="str">
        <f>IF(OR(Table1[[#This Row],[US Holiday]]&lt;&gt;"", Table1[[#This Row],[India Holiday]]&lt;&gt;""), "Yes", "No")</f>
        <v>No</v>
      </c>
      <c r="I797" s="2" t="str">
        <f>IF(
  AND(
    WORKDAY(E797-1,1)=E797,
    _xlfn.CONCAT(F797:G797)=""
  ),
  _xlfn.MAXIFS(I$2:I796,C$2:C796,C797,B$2:B796,B797)+1,
  ""
)</f>
        <v/>
      </c>
    </row>
    <row r="798" spans="2:9" x14ac:dyDescent="0.25">
      <c r="B798" s="2">
        <f t="shared" si="40"/>
        <v>2027</v>
      </c>
      <c r="C798" s="2" t="str">
        <f t="shared" si="41"/>
        <v>September</v>
      </c>
      <c r="D798" s="2" t="str">
        <f t="shared" si="39"/>
        <v>Sunday</v>
      </c>
      <c r="E798" s="4">
        <v>46635</v>
      </c>
      <c r="H798" s="3" t="str">
        <f>IF(OR(Table1[[#This Row],[US Holiday]]&lt;&gt;"", Table1[[#This Row],[India Holiday]]&lt;&gt;""), "Yes", "No")</f>
        <v>No</v>
      </c>
      <c r="I798" s="2" t="str">
        <f>IF(
  AND(
    WORKDAY(E798-1,1)=E798,
    _xlfn.CONCAT(F798:G798)=""
  ),
  _xlfn.MAXIFS(I$2:I797,C$2:C797,C798,B$2:B797,B798)+1,
  ""
)</f>
        <v/>
      </c>
    </row>
    <row r="799" spans="2:9" x14ac:dyDescent="0.25">
      <c r="B799" s="2">
        <f t="shared" si="40"/>
        <v>2027</v>
      </c>
      <c r="C799" s="2" t="str">
        <f t="shared" si="41"/>
        <v>September</v>
      </c>
      <c r="D799" s="2" t="str">
        <f t="shared" si="39"/>
        <v>Monday</v>
      </c>
      <c r="E799" s="4">
        <v>46636</v>
      </c>
      <c r="H799" s="3" t="str">
        <f>IF(OR(Table1[[#This Row],[US Holiday]]&lt;&gt;"", Table1[[#This Row],[India Holiday]]&lt;&gt;""), "Yes", "No")</f>
        <v>No</v>
      </c>
      <c r="I799" s="2">
        <f>IF(
  AND(
    WORKDAY(E799-1,1)=E799,
    _xlfn.CONCAT(F799:G799)=""
  ),
  _xlfn.MAXIFS(I$2:I798,C$2:C798,C799,B$2:B798,B799)+1,
  ""
)</f>
        <v>4</v>
      </c>
    </row>
    <row r="800" spans="2:9" x14ac:dyDescent="0.25">
      <c r="B800" s="2">
        <f t="shared" si="40"/>
        <v>2027</v>
      </c>
      <c r="C800" s="2" t="str">
        <f t="shared" si="41"/>
        <v>September</v>
      </c>
      <c r="D800" s="2" t="str">
        <f t="shared" si="39"/>
        <v>Tuesday</v>
      </c>
      <c r="E800" s="4">
        <v>46637</v>
      </c>
      <c r="H800" s="3" t="str">
        <f>IF(OR(Table1[[#This Row],[US Holiday]]&lt;&gt;"", Table1[[#This Row],[India Holiday]]&lt;&gt;""), "Yes", "No")</f>
        <v>No</v>
      </c>
      <c r="I800" s="2">
        <f>IF(
  AND(
    WORKDAY(E800-1,1)=E800,
    _xlfn.CONCAT(F800:G800)=""
  ),
  _xlfn.MAXIFS(I$2:I799,C$2:C799,C800,B$2:B799,B800)+1,
  ""
)</f>
        <v>5</v>
      </c>
    </row>
    <row r="801" spans="2:9" x14ac:dyDescent="0.25">
      <c r="B801" s="2">
        <f t="shared" si="40"/>
        <v>2027</v>
      </c>
      <c r="C801" s="2" t="str">
        <f t="shared" si="41"/>
        <v>September</v>
      </c>
      <c r="D801" s="2" t="str">
        <f t="shared" si="39"/>
        <v>Wednesday</v>
      </c>
      <c r="E801" s="4">
        <v>46638</v>
      </c>
      <c r="H801" s="3" t="str">
        <f>IF(OR(Table1[[#This Row],[US Holiday]]&lt;&gt;"", Table1[[#This Row],[India Holiday]]&lt;&gt;""), "Yes", "No")</f>
        <v>No</v>
      </c>
      <c r="I801" s="2">
        <f>IF(
  AND(
    WORKDAY(E801-1,1)=E801,
    _xlfn.CONCAT(F801:G801)=""
  ),
  _xlfn.MAXIFS(I$2:I800,C$2:C800,C801,B$2:B800,B801)+1,
  ""
)</f>
        <v>6</v>
      </c>
    </row>
    <row r="802" spans="2:9" x14ac:dyDescent="0.25">
      <c r="B802" s="2">
        <f t="shared" si="40"/>
        <v>2027</v>
      </c>
      <c r="C802" s="2" t="str">
        <f t="shared" si="41"/>
        <v>September</v>
      </c>
      <c r="D802" s="2" t="str">
        <f t="shared" si="39"/>
        <v>Thursday</v>
      </c>
      <c r="E802" s="4">
        <v>46639</v>
      </c>
      <c r="H802" s="3" t="str">
        <f>IF(OR(Table1[[#This Row],[US Holiday]]&lt;&gt;"", Table1[[#This Row],[India Holiday]]&lt;&gt;""), "Yes", "No")</f>
        <v>No</v>
      </c>
      <c r="I802" s="2">
        <f>IF(
  AND(
    WORKDAY(E802-1,1)=E802,
    _xlfn.CONCAT(F802:G802)=""
  ),
  _xlfn.MAXIFS(I$2:I801,C$2:C801,C802,B$2:B801,B802)+1,
  ""
)</f>
        <v>7</v>
      </c>
    </row>
    <row r="803" spans="2:9" x14ac:dyDescent="0.25">
      <c r="B803" s="2">
        <f t="shared" si="40"/>
        <v>2027</v>
      </c>
      <c r="C803" s="2" t="str">
        <f t="shared" si="41"/>
        <v>September</v>
      </c>
      <c r="D803" s="2" t="str">
        <f t="shared" si="39"/>
        <v>Friday</v>
      </c>
      <c r="E803" s="4">
        <v>46640</v>
      </c>
      <c r="H803" s="3" t="str">
        <f>IF(OR(Table1[[#This Row],[US Holiday]]&lt;&gt;"", Table1[[#This Row],[India Holiday]]&lt;&gt;""), "Yes", "No")</f>
        <v>No</v>
      </c>
      <c r="I803" s="2">
        <f>IF(
  AND(
    WORKDAY(E803-1,1)=E803,
    _xlfn.CONCAT(F803:G803)=""
  ),
  _xlfn.MAXIFS(I$2:I802,C$2:C802,C803,B$2:B802,B803)+1,
  ""
)</f>
        <v>8</v>
      </c>
    </row>
    <row r="804" spans="2:9" x14ac:dyDescent="0.25">
      <c r="B804" s="2">
        <f t="shared" si="40"/>
        <v>2027</v>
      </c>
      <c r="C804" s="2" t="str">
        <f t="shared" si="41"/>
        <v>September</v>
      </c>
      <c r="D804" s="2" t="str">
        <f t="shared" si="39"/>
        <v>Saturday</v>
      </c>
      <c r="E804" s="4">
        <v>46641</v>
      </c>
      <c r="H804" s="3" t="str">
        <f>IF(OR(Table1[[#This Row],[US Holiday]]&lt;&gt;"", Table1[[#This Row],[India Holiday]]&lt;&gt;""), "Yes", "No")</f>
        <v>No</v>
      </c>
      <c r="I804" s="2" t="str">
        <f>IF(
  AND(
    WORKDAY(E804-1,1)=E804,
    _xlfn.CONCAT(F804:G804)=""
  ),
  _xlfn.MAXIFS(I$2:I803,C$2:C803,C804,B$2:B803,B804)+1,
  ""
)</f>
        <v/>
      </c>
    </row>
    <row r="805" spans="2:9" x14ac:dyDescent="0.25">
      <c r="B805" s="2">
        <f t="shared" si="40"/>
        <v>2027</v>
      </c>
      <c r="C805" s="2" t="str">
        <f t="shared" si="41"/>
        <v>September</v>
      </c>
      <c r="D805" s="2" t="str">
        <f t="shared" si="39"/>
        <v>Sunday</v>
      </c>
      <c r="E805" s="4">
        <v>46642</v>
      </c>
      <c r="H805" s="3" t="str">
        <f>IF(OR(Table1[[#This Row],[US Holiday]]&lt;&gt;"", Table1[[#This Row],[India Holiday]]&lt;&gt;""), "Yes", "No")</f>
        <v>No</v>
      </c>
      <c r="I805" s="2" t="str">
        <f>IF(
  AND(
    WORKDAY(E805-1,1)=E805,
    _xlfn.CONCAT(F805:G805)=""
  ),
  _xlfn.MAXIFS(I$2:I804,C$2:C804,C805,B$2:B804,B805)+1,
  ""
)</f>
        <v/>
      </c>
    </row>
    <row r="806" spans="2:9" x14ac:dyDescent="0.25">
      <c r="B806" s="2">
        <f t="shared" si="40"/>
        <v>2027</v>
      </c>
      <c r="C806" s="2" t="str">
        <f t="shared" si="41"/>
        <v>September</v>
      </c>
      <c r="D806" s="2" t="str">
        <f t="shared" si="39"/>
        <v>Monday</v>
      </c>
      <c r="E806" s="4">
        <v>46643</v>
      </c>
      <c r="H806" s="3" t="str">
        <f>IF(OR(Table1[[#This Row],[US Holiday]]&lt;&gt;"", Table1[[#This Row],[India Holiday]]&lt;&gt;""), "Yes", "No")</f>
        <v>No</v>
      </c>
      <c r="I806" s="2">
        <f>IF(
  AND(
    WORKDAY(E806-1,1)=E806,
    _xlfn.CONCAT(F806:G806)=""
  ),
  _xlfn.MAXIFS(I$2:I805,C$2:C805,C806,B$2:B805,B806)+1,
  ""
)</f>
        <v>9</v>
      </c>
    </row>
    <row r="807" spans="2:9" x14ac:dyDescent="0.25">
      <c r="B807" s="2">
        <f t="shared" si="40"/>
        <v>2027</v>
      </c>
      <c r="C807" s="2" t="str">
        <f t="shared" si="41"/>
        <v>September</v>
      </c>
      <c r="D807" s="2" t="str">
        <f t="shared" si="39"/>
        <v>Tuesday</v>
      </c>
      <c r="E807" s="4">
        <v>46644</v>
      </c>
      <c r="H807" s="3" t="str">
        <f>IF(OR(Table1[[#This Row],[US Holiday]]&lt;&gt;"", Table1[[#This Row],[India Holiday]]&lt;&gt;""), "Yes", "No")</f>
        <v>No</v>
      </c>
      <c r="I807" s="2">
        <f>IF(
  AND(
    WORKDAY(E807-1,1)=E807,
    _xlfn.CONCAT(F807:G807)=""
  ),
  _xlfn.MAXIFS(I$2:I806,C$2:C806,C807,B$2:B806,B807)+1,
  ""
)</f>
        <v>10</v>
      </c>
    </row>
    <row r="808" spans="2:9" x14ac:dyDescent="0.25">
      <c r="B808" s="2">
        <f t="shared" si="40"/>
        <v>2027</v>
      </c>
      <c r="C808" s="2" t="str">
        <f t="shared" si="41"/>
        <v>September</v>
      </c>
      <c r="D808" s="2" t="str">
        <f t="shared" si="39"/>
        <v>Wednesday</v>
      </c>
      <c r="E808" s="4">
        <v>46645</v>
      </c>
      <c r="H808" s="3" t="str">
        <f>IF(OR(Table1[[#This Row],[US Holiday]]&lt;&gt;"", Table1[[#This Row],[India Holiday]]&lt;&gt;""), "Yes", "No")</f>
        <v>No</v>
      </c>
      <c r="I808" s="2">
        <f>IF(
  AND(
    WORKDAY(E808-1,1)=E808,
    _xlfn.CONCAT(F808:G808)=""
  ),
  _xlfn.MAXIFS(I$2:I807,C$2:C807,C808,B$2:B807,B808)+1,
  ""
)</f>
        <v>11</v>
      </c>
    </row>
    <row r="809" spans="2:9" x14ac:dyDescent="0.25">
      <c r="B809" s="2">
        <f t="shared" si="40"/>
        <v>2027</v>
      </c>
      <c r="C809" s="2" t="str">
        <f t="shared" si="41"/>
        <v>September</v>
      </c>
      <c r="D809" s="2" t="str">
        <f t="shared" si="39"/>
        <v>Thursday</v>
      </c>
      <c r="E809" s="4">
        <v>46646</v>
      </c>
      <c r="H809" s="3" t="str">
        <f>IF(OR(Table1[[#This Row],[US Holiday]]&lt;&gt;"", Table1[[#This Row],[India Holiday]]&lt;&gt;""), "Yes", "No")</f>
        <v>No</v>
      </c>
      <c r="I809" s="2">
        <f>IF(
  AND(
    WORKDAY(E809-1,1)=E809,
    _xlfn.CONCAT(F809:G809)=""
  ),
  _xlfn.MAXIFS(I$2:I808,C$2:C808,C809,B$2:B808,B809)+1,
  ""
)</f>
        <v>12</v>
      </c>
    </row>
    <row r="810" spans="2:9" x14ac:dyDescent="0.25">
      <c r="B810" s="2">
        <f t="shared" si="40"/>
        <v>2027</v>
      </c>
      <c r="C810" s="2" t="str">
        <f t="shared" si="41"/>
        <v>September</v>
      </c>
      <c r="D810" s="2" t="str">
        <f t="shared" si="39"/>
        <v>Friday</v>
      </c>
      <c r="E810" s="4">
        <v>46647</v>
      </c>
      <c r="H810" s="3" t="str">
        <f>IF(OR(Table1[[#This Row],[US Holiday]]&lt;&gt;"", Table1[[#This Row],[India Holiday]]&lt;&gt;""), "Yes", "No")</f>
        <v>No</v>
      </c>
      <c r="I810" s="2">
        <f>IF(
  AND(
    WORKDAY(E810-1,1)=E810,
    _xlfn.CONCAT(F810:G810)=""
  ),
  _xlfn.MAXIFS(I$2:I809,C$2:C809,C810,B$2:B809,B810)+1,
  ""
)</f>
        <v>13</v>
      </c>
    </row>
    <row r="811" spans="2:9" x14ac:dyDescent="0.25">
      <c r="B811" s="2">
        <f t="shared" si="40"/>
        <v>2027</v>
      </c>
      <c r="C811" s="2" t="str">
        <f t="shared" si="41"/>
        <v>September</v>
      </c>
      <c r="D811" s="2" t="str">
        <f t="shared" si="39"/>
        <v>Saturday</v>
      </c>
      <c r="E811" s="4">
        <v>46648</v>
      </c>
      <c r="H811" s="3" t="str">
        <f>IF(OR(Table1[[#This Row],[US Holiday]]&lt;&gt;"", Table1[[#This Row],[India Holiday]]&lt;&gt;""), "Yes", "No")</f>
        <v>No</v>
      </c>
      <c r="I811" s="2" t="str">
        <f>IF(
  AND(
    WORKDAY(E811-1,1)=E811,
    _xlfn.CONCAT(F811:G811)=""
  ),
  _xlfn.MAXIFS(I$2:I810,C$2:C810,C811,B$2:B810,B811)+1,
  ""
)</f>
        <v/>
      </c>
    </row>
    <row r="812" spans="2:9" x14ac:dyDescent="0.25">
      <c r="B812" s="2">
        <f t="shared" si="40"/>
        <v>2027</v>
      </c>
      <c r="C812" s="2" t="str">
        <f t="shared" si="41"/>
        <v>September</v>
      </c>
      <c r="D812" s="2" t="str">
        <f t="shared" si="39"/>
        <v>Sunday</v>
      </c>
      <c r="E812" s="4">
        <v>46649</v>
      </c>
      <c r="H812" s="3" t="str">
        <f>IF(OR(Table1[[#This Row],[US Holiday]]&lt;&gt;"", Table1[[#This Row],[India Holiday]]&lt;&gt;""), "Yes", "No")</f>
        <v>No</v>
      </c>
      <c r="I812" s="2" t="str">
        <f>IF(
  AND(
    WORKDAY(E812-1,1)=E812,
    _xlfn.CONCAT(F812:G812)=""
  ),
  _xlfn.MAXIFS(I$2:I811,C$2:C811,C812,B$2:B811,B812)+1,
  ""
)</f>
        <v/>
      </c>
    </row>
    <row r="813" spans="2:9" x14ac:dyDescent="0.25">
      <c r="B813" s="2">
        <f t="shared" si="40"/>
        <v>2027</v>
      </c>
      <c r="C813" s="2" t="str">
        <f t="shared" si="41"/>
        <v>September</v>
      </c>
      <c r="D813" s="2" t="str">
        <f t="shared" si="39"/>
        <v>Monday</v>
      </c>
      <c r="E813" s="4">
        <v>46650</v>
      </c>
      <c r="H813" s="3" t="str">
        <f>IF(OR(Table1[[#This Row],[US Holiday]]&lt;&gt;"", Table1[[#This Row],[India Holiday]]&lt;&gt;""), "Yes", "No")</f>
        <v>No</v>
      </c>
      <c r="I813" s="2">
        <f>IF(
  AND(
    WORKDAY(E813-1,1)=E813,
    _xlfn.CONCAT(F813:G813)=""
  ),
  _xlfn.MAXIFS(I$2:I812,C$2:C812,C813,B$2:B812,B813)+1,
  ""
)</f>
        <v>14</v>
      </c>
    </row>
    <row r="814" spans="2:9" x14ac:dyDescent="0.25">
      <c r="B814" s="2">
        <f t="shared" si="40"/>
        <v>2027</v>
      </c>
      <c r="C814" s="2" t="str">
        <f t="shared" si="41"/>
        <v>September</v>
      </c>
      <c r="D814" s="2" t="str">
        <f t="shared" si="39"/>
        <v>Tuesday</v>
      </c>
      <c r="E814" s="4">
        <v>46651</v>
      </c>
      <c r="H814" s="3" t="str">
        <f>IF(OR(Table1[[#This Row],[US Holiday]]&lt;&gt;"", Table1[[#This Row],[India Holiday]]&lt;&gt;""), "Yes", "No")</f>
        <v>No</v>
      </c>
      <c r="I814" s="2">
        <f>IF(
  AND(
    WORKDAY(E814-1,1)=E814,
    _xlfn.CONCAT(F814:G814)=""
  ),
  _xlfn.MAXIFS(I$2:I813,C$2:C813,C814,B$2:B813,B814)+1,
  ""
)</f>
        <v>15</v>
      </c>
    </row>
    <row r="815" spans="2:9" x14ac:dyDescent="0.25">
      <c r="B815" s="2">
        <f t="shared" si="40"/>
        <v>2027</v>
      </c>
      <c r="C815" s="2" t="str">
        <f t="shared" si="41"/>
        <v>September</v>
      </c>
      <c r="D815" s="2" t="str">
        <f t="shared" si="39"/>
        <v>Wednesday</v>
      </c>
      <c r="E815" s="4">
        <v>46652</v>
      </c>
      <c r="H815" s="3" t="str">
        <f>IF(OR(Table1[[#This Row],[US Holiday]]&lt;&gt;"", Table1[[#This Row],[India Holiday]]&lt;&gt;""), "Yes", "No")</f>
        <v>No</v>
      </c>
      <c r="I815" s="2">
        <f>IF(
  AND(
    WORKDAY(E815-1,1)=E815,
    _xlfn.CONCAT(F815:G815)=""
  ),
  _xlfn.MAXIFS(I$2:I814,C$2:C814,C815,B$2:B814,B815)+1,
  ""
)</f>
        <v>16</v>
      </c>
    </row>
    <row r="816" spans="2:9" x14ac:dyDescent="0.25">
      <c r="B816" s="2">
        <f t="shared" si="40"/>
        <v>2027</v>
      </c>
      <c r="C816" s="2" t="str">
        <f t="shared" si="41"/>
        <v>September</v>
      </c>
      <c r="D816" s="2" t="str">
        <f t="shared" si="39"/>
        <v>Thursday</v>
      </c>
      <c r="E816" s="4">
        <v>46653</v>
      </c>
      <c r="H816" s="3" t="str">
        <f>IF(OR(Table1[[#This Row],[US Holiday]]&lt;&gt;"", Table1[[#This Row],[India Holiday]]&lt;&gt;""), "Yes", "No")</f>
        <v>No</v>
      </c>
      <c r="I816" s="2">
        <f>IF(
  AND(
    WORKDAY(E816-1,1)=E816,
    _xlfn.CONCAT(F816:G816)=""
  ),
  _xlfn.MAXIFS(I$2:I815,C$2:C815,C816,B$2:B815,B816)+1,
  ""
)</f>
        <v>17</v>
      </c>
    </row>
    <row r="817" spans="2:9" x14ac:dyDescent="0.25">
      <c r="B817" s="2">
        <f t="shared" si="40"/>
        <v>2027</v>
      </c>
      <c r="C817" s="2" t="str">
        <f t="shared" si="41"/>
        <v>September</v>
      </c>
      <c r="D817" s="2" t="str">
        <f t="shared" si="39"/>
        <v>Friday</v>
      </c>
      <c r="E817" s="4">
        <v>46654</v>
      </c>
      <c r="H817" s="3" t="str">
        <f>IF(OR(Table1[[#This Row],[US Holiday]]&lt;&gt;"", Table1[[#This Row],[India Holiday]]&lt;&gt;""), "Yes", "No")</f>
        <v>No</v>
      </c>
      <c r="I817" s="2">
        <f>IF(
  AND(
    WORKDAY(E817-1,1)=E817,
    _xlfn.CONCAT(F817:G817)=""
  ),
  _xlfn.MAXIFS(I$2:I816,C$2:C816,C817,B$2:B816,B817)+1,
  ""
)</f>
        <v>18</v>
      </c>
    </row>
    <row r="818" spans="2:9" x14ac:dyDescent="0.25">
      <c r="B818" s="2">
        <f t="shared" si="40"/>
        <v>2027</v>
      </c>
      <c r="C818" s="2" t="str">
        <f t="shared" si="41"/>
        <v>September</v>
      </c>
      <c r="D818" s="2" t="str">
        <f t="shared" si="39"/>
        <v>Saturday</v>
      </c>
      <c r="E818" s="4">
        <v>46655</v>
      </c>
      <c r="H818" s="3" t="str">
        <f>IF(OR(Table1[[#This Row],[US Holiday]]&lt;&gt;"", Table1[[#This Row],[India Holiday]]&lt;&gt;""), "Yes", "No")</f>
        <v>No</v>
      </c>
      <c r="I818" s="2" t="str">
        <f>IF(
  AND(
    WORKDAY(E818-1,1)=E818,
    _xlfn.CONCAT(F818:G818)=""
  ),
  _xlfn.MAXIFS(I$2:I817,C$2:C817,C818,B$2:B817,B818)+1,
  ""
)</f>
        <v/>
      </c>
    </row>
    <row r="819" spans="2:9" x14ac:dyDescent="0.25">
      <c r="B819" s="2">
        <f t="shared" si="40"/>
        <v>2027</v>
      </c>
      <c r="C819" s="2" t="str">
        <f t="shared" si="41"/>
        <v>September</v>
      </c>
      <c r="D819" s="2" t="str">
        <f t="shared" si="39"/>
        <v>Sunday</v>
      </c>
      <c r="E819" s="4">
        <v>46656</v>
      </c>
      <c r="H819" s="3" t="str">
        <f>IF(OR(Table1[[#This Row],[US Holiday]]&lt;&gt;"", Table1[[#This Row],[India Holiday]]&lt;&gt;""), "Yes", "No")</f>
        <v>No</v>
      </c>
      <c r="I819" s="2" t="str">
        <f>IF(
  AND(
    WORKDAY(E819-1,1)=E819,
    _xlfn.CONCAT(F819:G819)=""
  ),
  _xlfn.MAXIFS(I$2:I818,C$2:C818,C819,B$2:B818,B819)+1,
  ""
)</f>
        <v/>
      </c>
    </row>
    <row r="820" spans="2:9" x14ac:dyDescent="0.25">
      <c r="B820" s="2">
        <f t="shared" si="40"/>
        <v>2027</v>
      </c>
      <c r="C820" s="2" t="str">
        <f t="shared" si="41"/>
        <v>September</v>
      </c>
      <c r="D820" s="2" t="str">
        <f t="shared" si="39"/>
        <v>Monday</v>
      </c>
      <c r="E820" s="4">
        <v>46657</v>
      </c>
      <c r="H820" s="3" t="str">
        <f>IF(OR(Table1[[#This Row],[US Holiday]]&lt;&gt;"", Table1[[#This Row],[India Holiday]]&lt;&gt;""), "Yes", "No")</f>
        <v>No</v>
      </c>
      <c r="I820" s="2">
        <f>IF(
  AND(
    WORKDAY(E820-1,1)=E820,
    _xlfn.CONCAT(F820:G820)=""
  ),
  _xlfn.MAXIFS(I$2:I819,C$2:C819,C820,B$2:B819,B820)+1,
  ""
)</f>
        <v>19</v>
      </c>
    </row>
    <row r="821" spans="2:9" x14ac:dyDescent="0.25">
      <c r="B821" s="2">
        <f t="shared" si="40"/>
        <v>2027</v>
      </c>
      <c r="C821" s="2" t="str">
        <f t="shared" si="41"/>
        <v>September</v>
      </c>
      <c r="D821" s="2" t="str">
        <f t="shared" si="39"/>
        <v>Tuesday</v>
      </c>
      <c r="E821" s="4">
        <v>46658</v>
      </c>
      <c r="H821" s="3" t="str">
        <f>IF(OR(Table1[[#This Row],[US Holiday]]&lt;&gt;"", Table1[[#This Row],[India Holiday]]&lt;&gt;""), "Yes", "No")</f>
        <v>No</v>
      </c>
      <c r="I821" s="2">
        <f>IF(
  AND(
    WORKDAY(E821-1,1)=E821,
    _xlfn.CONCAT(F821:G821)=""
  ),
  _xlfn.MAXIFS(I$2:I820,C$2:C820,C821,B$2:B820,B821)+1,
  ""
)</f>
        <v>20</v>
      </c>
    </row>
    <row r="822" spans="2:9" x14ac:dyDescent="0.25">
      <c r="B822" s="2">
        <f t="shared" si="40"/>
        <v>2027</v>
      </c>
      <c r="C822" s="2" t="str">
        <f t="shared" si="41"/>
        <v>September</v>
      </c>
      <c r="D822" s="2" t="str">
        <f t="shared" si="39"/>
        <v>Wednesday</v>
      </c>
      <c r="E822" s="4">
        <v>46659</v>
      </c>
      <c r="H822" s="3" t="str">
        <f>IF(OR(Table1[[#This Row],[US Holiday]]&lt;&gt;"", Table1[[#This Row],[India Holiday]]&lt;&gt;""), "Yes", "No")</f>
        <v>No</v>
      </c>
      <c r="I822" s="2">
        <f>IF(
  AND(
    WORKDAY(E822-1,1)=E822,
    _xlfn.CONCAT(F822:G822)=""
  ),
  _xlfn.MAXIFS(I$2:I821,C$2:C821,C822,B$2:B821,B822)+1,
  ""
)</f>
        <v>21</v>
      </c>
    </row>
    <row r="823" spans="2:9" x14ac:dyDescent="0.25">
      <c r="B823" s="2">
        <f t="shared" si="40"/>
        <v>2027</v>
      </c>
      <c r="C823" s="2" t="str">
        <f t="shared" si="41"/>
        <v>September</v>
      </c>
      <c r="D823" s="2" t="str">
        <f t="shared" si="39"/>
        <v>Thursday</v>
      </c>
      <c r="E823" s="4">
        <v>46660</v>
      </c>
      <c r="H823" s="3" t="str">
        <f>IF(OR(Table1[[#This Row],[US Holiday]]&lt;&gt;"", Table1[[#This Row],[India Holiday]]&lt;&gt;""), "Yes", "No")</f>
        <v>No</v>
      </c>
      <c r="I823" s="2">
        <f>IF(
  AND(
    WORKDAY(E823-1,1)=E823,
    _xlfn.CONCAT(F823:G823)=""
  ),
  _xlfn.MAXIFS(I$2:I822,C$2:C822,C823,B$2:B822,B823)+1,
  ""
)</f>
        <v>22</v>
      </c>
    </row>
    <row r="824" spans="2:9" x14ac:dyDescent="0.25">
      <c r="B824" s="2">
        <f t="shared" si="40"/>
        <v>2027</v>
      </c>
      <c r="C824" s="2" t="str">
        <f t="shared" si="41"/>
        <v>October</v>
      </c>
      <c r="D824" s="2" t="str">
        <f t="shared" si="39"/>
        <v>Friday</v>
      </c>
      <c r="E824" s="4">
        <v>46661</v>
      </c>
      <c r="H824" s="3" t="str">
        <f>IF(OR(Table1[[#This Row],[US Holiday]]&lt;&gt;"", Table1[[#This Row],[India Holiday]]&lt;&gt;""), "Yes", "No")</f>
        <v>No</v>
      </c>
      <c r="I824" s="2">
        <f>IF(
  AND(
    WORKDAY(E824-1,1)=E824,
    _xlfn.CONCAT(F824:G824)=""
  ),
  _xlfn.MAXIFS(I$2:I823,C$2:C823,C824,B$2:B823,B824)+1,
  ""
)</f>
        <v>1</v>
      </c>
    </row>
    <row r="825" spans="2:9" x14ac:dyDescent="0.25">
      <c r="B825" s="2">
        <f t="shared" si="40"/>
        <v>2027</v>
      </c>
      <c r="C825" s="2" t="str">
        <f t="shared" si="41"/>
        <v>October</v>
      </c>
      <c r="D825" s="2" t="str">
        <f t="shared" si="39"/>
        <v>Saturday</v>
      </c>
      <c r="E825" s="4">
        <v>46662</v>
      </c>
      <c r="H825" s="3" t="str">
        <f>IF(OR(Table1[[#This Row],[US Holiday]]&lt;&gt;"", Table1[[#This Row],[India Holiday]]&lt;&gt;""), "Yes", "No")</f>
        <v>No</v>
      </c>
      <c r="I825" s="2" t="str">
        <f>IF(
  AND(
    WORKDAY(E825-1,1)=E825,
    _xlfn.CONCAT(F825:G825)=""
  ),
  _xlfn.MAXIFS(I$2:I824,C$2:C824,C825,B$2:B824,B825)+1,
  ""
)</f>
        <v/>
      </c>
    </row>
    <row r="826" spans="2:9" x14ac:dyDescent="0.25">
      <c r="B826" s="2">
        <f t="shared" si="40"/>
        <v>2027</v>
      </c>
      <c r="C826" s="2" t="str">
        <f t="shared" si="41"/>
        <v>October</v>
      </c>
      <c r="D826" s="2" t="str">
        <f t="shared" si="39"/>
        <v>Sunday</v>
      </c>
      <c r="E826" s="4">
        <v>46663</v>
      </c>
      <c r="H826" s="3" t="str">
        <f>IF(OR(Table1[[#This Row],[US Holiday]]&lt;&gt;"", Table1[[#This Row],[India Holiday]]&lt;&gt;""), "Yes", "No")</f>
        <v>No</v>
      </c>
      <c r="I826" s="2" t="str">
        <f>IF(
  AND(
    WORKDAY(E826-1,1)=E826,
    _xlfn.CONCAT(F826:G826)=""
  ),
  _xlfn.MAXIFS(I$2:I825,C$2:C825,C826,B$2:B825,B826)+1,
  ""
)</f>
        <v/>
      </c>
    </row>
    <row r="827" spans="2:9" x14ac:dyDescent="0.25">
      <c r="B827" s="2">
        <f t="shared" si="40"/>
        <v>2027</v>
      </c>
      <c r="C827" s="2" t="str">
        <f t="shared" si="41"/>
        <v>October</v>
      </c>
      <c r="D827" s="2" t="str">
        <f t="shared" si="39"/>
        <v>Monday</v>
      </c>
      <c r="E827" s="4">
        <v>46664</v>
      </c>
      <c r="H827" s="3" t="str">
        <f>IF(OR(Table1[[#This Row],[US Holiday]]&lt;&gt;"", Table1[[#This Row],[India Holiday]]&lt;&gt;""), "Yes", "No")</f>
        <v>No</v>
      </c>
      <c r="I827" s="2">
        <f>IF(
  AND(
    WORKDAY(E827-1,1)=E827,
    _xlfn.CONCAT(F827:G827)=""
  ),
  _xlfn.MAXIFS(I$2:I826,C$2:C826,C827,B$2:B826,B827)+1,
  ""
)</f>
        <v>2</v>
      </c>
    </row>
    <row r="828" spans="2:9" x14ac:dyDescent="0.25">
      <c r="B828" s="2">
        <f t="shared" si="40"/>
        <v>2027</v>
      </c>
      <c r="C828" s="2" t="str">
        <f t="shared" si="41"/>
        <v>October</v>
      </c>
      <c r="D828" s="2" t="str">
        <f t="shared" si="39"/>
        <v>Tuesday</v>
      </c>
      <c r="E828" s="4">
        <v>46665</v>
      </c>
      <c r="H828" s="3" t="str">
        <f>IF(OR(Table1[[#This Row],[US Holiday]]&lt;&gt;"", Table1[[#This Row],[India Holiday]]&lt;&gt;""), "Yes", "No")</f>
        <v>No</v>
      </c>
      <c r="I828" s="2">
        <f>IF(
  AND(
    WORKDAY(E828-1,1)=E828,
    _xlfn.CONCAT(F828:G828)=""
  ),
  _xlfn.MAXIFS(I$2:I827,C$2:C827,C828,B$2:B827,B828)+1,
  ""
)</f>
        <v>3</v>
      </c>
    </row>
    <row r="829" spans="2:9" x14ac:dyDescent="0.25">
      <c r="B829" s="2">
        <f t="shared" si="40"/>
        <v>2027</v>
      </c>
      <c r="C829" s="2" t="str">
        <f t="shared" si="41"/>
        <v>October</v>
      </c>
      <c r="D829" s="2" t="str">
        <f t="shared" si="39"/>
        <v>Wednesday</v>
      </c>
      <c r="E829" s="4">
        <v>46666</v>
      </c>
      <c r="H829" s="3" t="str">
        <f>IF(OR(Table1[[#This Row],[US Holiday]]&lt;&gt;"", Table1[[#This Row],[India Holiday]]&lt;&gt;""), "Yes", "No")</f>
        <v>No</v>
      </c>
      <c r="I829" s="2">
        <f>IF(
  AND(
    WORKDAY(E829-1,1)=E829,
    _xlfn.CONCAT(F829:G829)=""
  ),
  _xlfn.MAXIFS(I$2:I828,C$2:C828,C829,B$2:B828,B829)+1,
  ""
)</f>
        <v>4</v>
      </c>
    </row>
    <row r="830" spans="2:9" x14ac:dyDescent="0.25">
      <c r="B830" s="2">
        <f t="shared" si="40"/>
        <v>2027</v>
      </c>
      <c r="C830" s="2" t="str">
        <f t="shared" si="41"/>
        <v>October</v>
      </c>
      <c r="D830" s="2" t="str">
        <f t="shared" si="39"/>
        <v>Thursday</v>
      </c>
      <c r="E830" s="4">
        <v>46667</v>
      </c>
      <c r="H830" s="3" t="str">
        <f>IF(OR(Table1[[#This Row],[US Holiday]]&lt;&gt;"", Table1[[#This Row],[India Holiday]]&lt;&gt;""), "Yes", "No")</f>
        <v>No</v>
      </c>
      <c r="I830" s="2">
        <f>IF(
  AND(
    WORKDAY(E830-1,1)=E830,
    _xlfn.CONCAT(F830:G830)=""
  ),
  _xlfn.MAXIFS(I$2:I829,C$2:C829,C830,B$2:B829,B830)+1,
  ""
)</f>
        <v>5</v>
      </c>
    </row>
    <row r="831" spans="2:9" x14ac:dyDescent="0.25">
      <c r="B831" s="2">
        <f t="shared" si="40"/>
        <v>2027</v>
      </c>
      <c r="C831" s="2" t="str">
        <f t="shared" si="41"/>
        <v>October</v>
      </c>
      <c r="D831" s="2" t="str">
        <f t="shared" si="39"/>
        <v>Friday</v>
      </c>
      <c r="E831" s="4">
        <v>46668</v>
      </c>
      <c r="H831" s="3" t="str">
        <f>IF(OR(Table1[[#This Row],[US Holiday]]&lt;&gt;"", Table1[[#This Row],[India Holiday]]&lt;&gt;""), "Yes", "No")</f>
        <v>No</v>
      </c>
      <c r="I831" s="2">
        <f>IF(
  AND(
    WORKDAY(E831-1,1)=E831,
    _xlfn.CONCAT(F831:G831)=""
  ),
  _xlfn.MAXIFS(I$2:I830,C$2:C830,C831,B$2:B830,B831)+1,
  ""
)</f>
        <v>6</v>
      </c>
    </row>
    <row r="832" spans="2:9" x14ac:dyDescent="0.25">
      <c r="B832" s="2">
        <f t="shared" si="40"/>
        <v>2027</v>
      </c>
      <c r="C832" s="2" t="str">
        <f t="shared" si="41"/>
        <v>October</v>
      </c>
      <c r="D832" s="2" t="str">
        <f t="shared" si="39"/>
        <v>Saturday</v>
      </c>
      <c r="E832" s="4">
        <v>46669</v>
      </c>
      <c r="H832" s="3" t="str">
        <f>IF(OR(Table1[[#This Row],[US Holiday]]&lt;&gt;"", Table1[[#This Row],[India Holiday]]&lt;&gt;""), "Yes", "No")</f>
        <v>No</v>
      </c>
      <c r="I832" s="2" t="str">
        <f>IF(
  AND(
    WORKDAY(E832-1,1)=E832,
    _xlfn.CONCAT(F832:G832)=""
  ),
  _xlfn.MAXIFS(I$2:I831,C$2:C831,C832,B$2:B831,B832)+1,
  ""
)</f>
        <v/>
      </c>
    </row>
    <row r="833" spans="2:9" x14ac:dyDescent="0.25">
      <c r="B833" s="2">
        <f t="shared" si="40"/>
        <v>2027</v>
      </c>
      <c r="C833" s="2" t="str">
        <f t="shared" si="41"/>
        <v>October</v>
      </c>
      <c r="D833" s="2" t="str">
        <f t="shared" si="39"/>
        <v>Sunday</v>
      </c>
      <c r="E833" s="4">
        <v>46670</v>
      </c>
      <c r="H833" s="3" t="str">
        <f>IF(OR(Table1[[#This Row],[US Holiday]]&lt;&gt;"", Table1[[#This Row],[India Holiday]]&lt;&gt;""), "Yes", "No")</f>
        <v>No</v>
      </c>
      <c r="I833" s="2" t="str">
        <f>IF(
  AND(
    WORKDAY(E833-1,1)=E833,
    _xlfn.CONCAT(F833:G833)=""
  ),
  _xlfn.MAXIFS(I$2:I832,C$2:C832,C833,B$2:B832,B833)+1,
  ""
)</f>
        <v/>
      </c>
    </row>
    <row r="834" spans="2:9" x14ac:dyDescent="0.25">
      <c r="B834" s="2">
        <f t="shared" si="40"/>
        <v>2027</v>
      </c>
      <c r="C834" s="2" t="str">
        <f t="shared" si="41"/>
        <v>October</v>
      </c>
      <c r="D834" s="2" t="str">
        <f t="shared" si="39"/>
        <v>Monday</v>
      </c>
      <c r="E834" s="4">
        <v>46671</v>
      </c>
      <c r="H834" s="3" t="str">
        <f>IF(OR(Table1[[#This Row],[US Holiday]]&lt;&gt;"", Table1[[#This Row],[India Holiday]]&lt;&gt;""), "Yes", "No")</f>
        <v>No</v>
      </c>
      <c r="I834" s="2">
        <f>IF(
  AND(
    WORKDAY(E834-1,1)=E834,
    _xlfn.CONCAT(F834:G834)=""
  ),
  _xlfn.MAXIFS(I$2:I833,C$2:C833,C834,B$2:B833,B834)+1,
  ""
)</f>
        <v>7</v>
      </c>
    </row>
    <row r="835" spans="2:9" x14ac:dyDescent="0.25">
      <c r="B835" s="2">
        <f t="shared" si="40"/>
        <v>2027</v>
      </c>
      <c r="C835" s="2" t="str">
        <f t="shared" si="41"/>
        <v>October</v>
      </c>
      <c r="D835" s="2" t="str">
        <f t="shared" ref="D835:D898" si="42">TEXT(E835,"dddd")</f>
        <v>Tuesday</v>
      </c>
      <c r="E835" s="4">
        <v>46672</v>
      </c>
      <c r="H835" s="3" t="str">
        <f>IF(OR(Table1[[#This Row],[US Holiday]]&lt;&gt;"", Table1[[#This Row],[India Holiday]]&lt;&gt;""), "Yes", "No")</f>
        <v>No</v>
      </c>
      <c r="I835" s="2">
        <f>IF(
  AND(
    WORKDAY(E835-1,1)=E835,
    _xlfn.CONCAT(F835:G835)=""
  ),
  _xlfn.MAXIFS(I$2:I834,C$2:C834,C835,B$2:B834,B835)+1,
  ""
)</f>
        <v>8</v>
      </c>
    </row>
    <row r="836" spans="2:9" x14ac:dyDescent="0.25">
      <c r="B836" s="2">
        <f t="shared" si="40"/>
        <v>2027</v>
      </c>
      <c r="C836" s="2" t="str">
        <f t="shared" si="41"/>
        <v>October</v>
      </c>
      <c r="D836" s="2" t="str">
        <f t="shared" si="42"/>
        <v>Wednesday</v>
      </c>
      <c r="E836" s="4">
        <v>46673</v>
      </c>
      <c r="H836" s="3" t="str">
        <f>IF(OR(Table1[[#This Row],[US Holiday]]&lt;&gt;"", Table1[[#This Row],[India Holiday]]&lt;&gt;""), "Yes", "No")</f>
        <v>No</v>
      </c>
      <c r="I836" s="2">
        <f>IF(
  AND(
    WORKDAY(E836-1,1)=E836,
    _xlfn.CONCAT(F836:G836)=""
  ),
  _xlfn.MAXIFS(I$2:I835,C$2:C835,C836,B$2:B835,B836)+1,
  ""
)</f>
        <v>9</v>
      </c>
    </row>
    <row r="837" spans="2:9" x14ac:dyDescent="0.25">
      <c r="B837" s="2">
        <f t="shared" si="40"/>
        <v>2027</v>
      </c>
      <c r="C837" s="2" t="str">
        <f t="shared" si="41"/>
        <v>October</v>
      </c>
      <c r="D837" s="2" t="str">
        <f t="shared" si="42"/>
        <v>Thursday</v>
      </c>
      <c r="E837" s="4">
        <v>46674</v>
      </c>
      <c r="H837" s="3" t="str">
        <f>IF(OR(Table1[[#This Row],[US Holiday]]&lt;&gt;"", Table1[[#This Row],[India Holiday]]&lt;&gt;""), "Yes", "No")</f>
        <v>No</v>
      </c>
      <c r="I837" s="2">
        <f>IF(
  AND(
    WORKDAY(E837-1,1)=E837,
    _xlfn.CONCAT(F837:G837)=""
  ),
  _xlfn.MAXIFS(I$2:I836,C$2:C836,C837,B$2:B836,B837)+1,
  ""
)</f>
        <v>10</v>
      </c>
    </row>
    <row r="838" spans="2:9" x14ac:dyDescent="0.25">
      <c r="B838" s="2">
        <f t="shared" si="40"/>
        <v>2027</v>
      </c>
      <c r="C838" s="2" t="str">
        <f t="shared" si="41"/>
        <v>October</v>
      </c>
      <c r="D838" s="2" t="str">
        <f t="shared" si="42"/>
        <v>Friday</v>
      </c>
      <c r="E838" s="4">
        <v>46675</v>
      </c>
      <c r="H838" s="3" t="str">
        <f>IF(OR(Table1[[#This Row],[US Holiday]]&lt;&gt;"", Table1[[#This Row],[India Holiday]]&lt;&gt;""), "Yes", "No")</f>
        <v>No</v>
      </c>
      <c r="I838" s="2">
        <f>IF(
  AND(
    WORKDAY(E838-1,1)=E838,
    _xlfn.CONCAT(F838:G838)=""
  ),
  _xlfn.MAXIFS(I$2:I837,C$2:C837,C838,B$2:B837,B838)+1,
  ""
)</f>
        <v>11</v>
      </c>
    </row>
    <row r="839" spans="2:9" x14ac:dyDescent="0.25">
      <c r="B839" s="2">
        <f t="shared" si="40"/>
        <v>2027</v>
      </c>
      <c r="C839" s="2" t="str">
        <f t="shared" si="41"/>
        <v>October</v>
      </c>
      <c r="D839" s="2" t="str">
        <f t="shared" si="42"/>
        <v>Saturday</v>
      </c>
      <c r="E839" s="4">
        <v>46676</v>
      </c>
      <c r="H839" s="3" t="str">
        <f>IF(OR(Table1[[#This Row],[US Holiday]]&lt;&gt;"", Table1[[#This Row],[India Holiday]]&lt;&gt;""), "Yes", "No")</f>
        <v>No</v>
      </c>
      <c r="I839" s="2" t="str">
        <f>IF(
  AND(
    WORKDAY(E839-1,1)=E839,
    _xlfn.CONCAT(F839:G839)=""
  ),
  _xlfn.MAXIFS(I$2:I838,C$2:C838,C839,B$2:B838,B839)+1,
  ""
)</f>
        <v/>
      </c>
    </row>
    <row r="840" spans="2:9" x14ac:dyDescent="0.25">
      <c r="B840" s="2">
        <f t="shared" si="40"/>
        <v>2027</v>
      </c>
      <c r="C840" s="2" t="str">
        <f t="shared" si="41"/>
        <v>October</v>
      </c>
      <c r="D840" s="2" t="str">
        <f t="shared" si="42"/>
        <v>Sunday</v>
      </c>
      <c r="E840" s="4">
        <v>46677</v>
      </c>
      <c r="H840" s="3" t="str">
        <f>IF(OR(Table1[[#This Row],[US Holiday]]&lt;&gt;"", Table1[[#This Row],[India Holiday]]&lt;&gt;""), "Yes", "No")</f>
        <v>No</v>
      </c>
      <c r="I840" s="2" t="str">
        <f>IF(
  AND(
    WORKDAY(E840-1,1)=E840,
    _xlfn.CONCAT(F840:G840)=""
  ),
  _xlfn.MAXIFS(I$2:I839,C$2:C839,C840,B$2:B839,B840)+1,
  ""
)</f>
        <v/>
      </c>
    </row>
    <row r="841" spans="2:9" x14ac:dyDescent="0.25">
      <c r="B841" s="2">
        <f t="shared" si="40"/>
        <v>2027</v>
      </c>
      <c r="C841" s="2" t="str">
        <f t="shared" si="41"/>
        <v>October</v>
      </c>
      <c r="D841" s="2" t="str">
        <f t="shared" si="42"/>
        <v>Monday</v>
      </c>
      <c r="E841" s="4">
        <v>46678</v>
      </c>
      <c r="H841" s="3" t="str">
        <f>IF(OR(Table1[[#This Row],[US Holiday]]&lt;&gt;"", Table1[[#This Row],[India Holiday]]&lt;&gt;""), "Yes", "No")</f>
        <v>No</v>
      </c>
      <c r="I841" s="2">
        <f>IF(
  AND(
    WORKDAY(E841-1,1)=E841,
    _xlfn.CONCAT(F841:G841)=""
  ),
  _xlfn.MAXIFS(I$2:I840,C$2:C840,C841,B$2:B840,B841)+1,
  ""
)</f>
        <v>12</v>
      </c>
    </row>
    <row r="842" spans="2:9" x14ac:dyDescent="0.25">
      <c r="B842" s="2">
        <f t="shared" si="40"/>
        <v>2027</v>
      </c>
      <c r="C842" s="2" t="str">
        <f t="shared" si="41"/>
        <v>October</v>
      </c>
      <c r="D842" s="2" t="str">
        <f t="shared" si="42"/>
        <v>Tuesday</v>
      </c>
      <c r="E842" s="4">
        <v>46679</v>
      </c>
      <c r="H842" s="3" t="str">
        <f>IF(OR(Table1[[#This Row],[US Holiday]]&lt;&gt;"", Table1[[#This Row],[India Holiday]]&lt;&gt;""), "Yes", "No")</f>
        <v>No</v>
      </c>
      <c r="I842" s="2">
        <f>IF(
  AND(
    WORKDAY(E842-1,1)=E842,
    _xlfn.CONCAT(F842:G842)=""
  ),
  _xlfn.MAXIFS(I$2:I841,C$2:C841,C842,B$2:B841,B842)+1,
  ""
)</f>
        <v>13</v>
      </c>
    </row>
    <row r="843" spans="2:9" x14ac:dyDescent="0.25">
      <c r="B843" s="2">
        <f t="shared" si="40"/>
        <v>2027</v>
      </c>
      <c r="C843" s="2" t="str">
        <f t="shared" si="41"/>
        <v>October</v>
      </c>
      <c r="D843" s="2" t="str">
        <f t="shared" si="42"/>
        <v>Wednesday</v>
      </c>
      <c r="E843" s="4">
        <v>46680</v>
      </c>
      <c r="H843" s="3" t="str">
        <f>IF(OR(Table1[[#This Row],[US Holiday]]&lt;&gt;"", Table1[[#This Row],[India Holiday]]&lt;&gt;""), "Yes", "No")</f>
        <v>No</v>
      </c>
      <c r="I843" s="2">
        <f>IF(
  AND(
    WORKDAY(E843-1,1)=E843,
    _xlfn.CONCAT(F843:G843)=""
  ),
  _xlfn.MAXIFS(I$2:I842,C$2:C842,C843,B$2:B842,B843)+1,
  ""
)</f>
        <v>14</v>
      </c>
    </row>
    <row r="844" spans="2:9" x14ac:dyDescent="0.25">
      <c r="B844" s="2">
        <f t="shared" si="40"/>
        <v>2027</v>
      </c>
      <c r="C844" s="2" t="str">
        <f t="shared" si="41"/>
        <v>October</v>
      </c>
      <c r="D844" s="2" t="str">
        <f t="shared" si="42"/>
        <v>Thursday</v>
      </c>
      <c r="E844" s="4">
        <v>46681</v>
      </c>
      <c r="H844" s="3" t="str">
        <f>IF(OR(Table1[[#This Row],[US Holiday]]&lt;&gt;"", Table1[[#This Row],[India Holiday]]&lt;&gt;""), "Yes", "No")</f>
        <v>No</v>
      </c>
      <c r="I844" s="2">
        <f>IF(
  AND(
    WORKDAY(E844-1,1)=E844,
    _xlfn.CONCAT(F844:G844)=""
  ),
  _xlfn.MAXIFS(I$2:I843,C$2:C843,C844,B$2:B843,B844)+1,
  ""
)</f>
        <v>15</v>
      </c>
    </row>
    <row r="845" spans="2:9" x14ac:dyDescent="0.25">
      <c r="B845" s="2">
        <f t="shared" si="40"/>
        <v>2027</v>
      </c>
      <c r="C845" s="2" t="str">
        <f t="shared" si="41"/>
        <v>October</v>
      </c>
      <c r="D845" s="2" t="str">
        <f t="shared" si="42"/>
        <v>Friday</v>
      </c>
      <c r="E845" s="4">
        <v>46682</v>
      </c>
      <c r="H845" s="3" t="str">
        <f>IF(OR(Table1[[#This Row],[US Holiday]]&lt;&gt;"", Table1[[#This Row],[India Holiday]]&lt;&gt;""), "Yes", "No")</f>
        <v>No</v>
      </c>
      <c r="I845" s="2">
        <f>IF(
  AND(
    WORKDAY(E845-1,1)=E845,
    _xlfn.CONCAT(F845:G845)=""
  ),
  _xlfn.MAXIFS(I$2:I844,C$2:C844,C845,B$2:B844,B845)+1,
  ""
)</f>
        <v>16</v>
      </c>
    </row>
    <row r="846" spans="2:9" x14ac:dyDescent="0.25">
      <c r="B846" s="2">
        <f t="shared" ref="B846:B875" si="43">YEAR(E846)</f>
        <v>2027</v>
      </c>
      <c r="C846" s="2" t="str">
        <f t="shared" ref="C846:C875" si="44">TEXT(E846,"mmmm")</f>
        <v>October</v>
      </c>
      <c r="D846" s="2" t="str">
        <f t="shared" si="42"/>
        <v>Saturday</v>
      </c>
      <c r="E846" s="4">
        <v>46683</v>
      </c>
      <c r="H846" s="3" t="str">
        <f>IF(OR(Table1[[#This Row],[US Holiday]]&lt;&gt;"", Table1[[#This Row],[India Holiday]]&lt;&gt;""), "Yes", "No")</f>
        <v>No</v>
      </c>
      <c r="I846" s="2" t="str">
        <f>IF(
  AND(
    WORKDAY(E846-1,1)=E846,
    _xlfn.CONCAT(F846:G846)=""
  ),
  _xlfn.MAXIFS(I$2:I845,C$2:C845,C846,B$2:B845,B846)+1,
  ""
)</f>
        <v/>
      </c>
    </row>
    <row r="847" spans="2:9" x14ac:dyDescent="0.25">
      <c r="B847" s="2">
        <f t="shared" si="43"/>
        <v>2027</v>
      </c>
      <c r="C847" s="2" t="str">
        <f t="shared" si="44"/>
        <v>October</v>
      </c>
      <c r="D847" s="2" t="str">
        <f t="shared" si="42"/>
        <v>Sunday</v>
      </c>
      <c r="E847" s="4">
        <v>46684</v>
      </c>
      <c r="H847" s="3" t="str">
        <f>IF(OR(Table1[[#This Row],[US Holiday]]&lt;&gt;"", Table1[[#This Row],[India Holiday]]&lt;&gt;""), "Yes", "No")</f>
        <v>No</v>
      </c>
      <c r="I847" s="2" t="str">
        <f>IF(
  AND(
    WORKDAY(E847-1,1)=E847,
    _xlfn.CONCAT(F847:G847)=""
  ),
  _xlfn.MAXIFS(I$2:I846,C$2:C846,C847,B$2:B846,B847)+1,
  ""
)</f>
        <v/>
      </c>
    </row>
    <row r="848" spans="2:9" x14ac:dyDescent="0.25">
      <c r="B848" s="2">
        <f t="shared" si="43"/>
        <v>2027</v>
      </c>
      <c r="C848" s="2" t="str">
        <f t="shared" si="44"/>
        <v>October</v>
      </c>
      <c r="D848" s="2" t="str">
        <f t="shared" si="42"/>
        <v>Monday</v>
      </c>
      <c r="E848" s="4">
        <v>46685</v>
      </c>
      <c r="H848" s="3" t="str">
        <f>IF(OR(Table1[[#This Row],[US Holiday]]&lt;&gt;"", Table1[[#This Row],[India Holiday]]&lt;&gt;""), "Yes", "No")</f>
        <v>No</v>
      </c>
      <c r="I848" s="2">
        <f>IF(
  AND(
    WORKDAY(E848-1,1)=E848,
    _xlfn.CONCAT(F848:G848)=""
  ),
  _xlfn.MAXIFS(I$2:I847,C$2:C847,C848,B$2:B847,B848)+1,
  ""
)</f>
        <v>17</v>
      </c>
    </row>
    <row r="849" spans="2:9" x14ac:dyDescent="0.25">
      <c r="B849" s="2">
        <f t="shared" si="43"/>
        <v>2027</v>
      </c>
      <c r="C849" s="2" t="str">
        <f t="shared" si="44"/>
        <v>October</v>
      </c>
      <c r="D849" s="2" t="str">
        <f t="shared" si="42"/>
        <v>Tuesday</v>
      </c>
      <c r="E849" s="4">
        <v>46686</v>
      </c>
      <c r="H849" s="3" t="str">
        <f>IF(OR(Table1[[#This Row],[US Holiday]]&lt;&gt;"", Table1[[#This Row],[India Holiday]]&lt;&gt;""), "Yes", "No")</f>
        <v>No</v>
      </c>
      <c r="I849" s="2">
        <f>IF(
  AND(
    WORKDAY(E849-1,1)=E849,
    _xlfn.CONCAT(F849:G849)=""
  ),
  _xlfn.MAXIFS(I$2:I848,C$2:C848,C849,B$2:B848,B849)+1,
  ""
)</f>
        <v>18</v>
      </c>
    </row>
    <row r="850" spans="2:9" x14ac:dyDescent="0.25">
      <c r="B850" s="2">
        <f t="shared" si="43"/>
        <v>2027</v>
      </c>
      <c r="C850" s="2" t="str">
        <f t="shared" si="44"/>
        <v>October</v>
      </c>
      <c r="D850" s="2" t="str">
        <f t="shared" si="42"/>
        <v>Wednesday</v>
      </c>
      <c r="E850" s="4">
        <v>46687</v>
      </c>
      <c r="H850" s="3" t="str">
        <f>IF(OR(Table1[[#This Row],[US Holiday]]&lt;&gt;"", Table1[[#This Row],[India Holiday]]&lt;&gt;""), "Yes", "No")</f>
        <v>No</v>
      </c>
      <c r="I850" s="2">
        <f>IF(
  AND(
    WORKDAY(E850-1,1)=E850,
    _xlfn.CONCAT(F850:G850)=""
  ),
  _xlfn.MAXIFS(I$2:I849,C$2:C849,C850,B$2:B849,B850)+1,
  ""
)</f>
        <v>19</v>
      </c>
    </row>
    <row r="851" spans="2:9" x14ac:dyDescent="0.25">
      <c r="B851" s="2">
        <f t="shared" si="43"/>
        <v>2027</v>
      </c>
      <c r="C851" s="2" t="str">
        <f t="shared" si="44"/>
        <v>October</v>
      </c>
      <c r="D851" s="2" t="str">
        <f t="shared" si="42"/>
        <v>Thursday</v>
      </c>
      <c r="E851" s="4">
        <v>46688</v>
      </c>
      <c r="H851" s="3" t="str">
        <f>IF(OR(Table1[[#This Row],[US Holiday]]&lt;&gt;"", Table1[[#This Row],[India Holiday]]&lt;&gt;""), "Yes", "No")</f>
        <v>No</v>
      </c>
      <c r="I851" s="2">
        <f>IF(
  AND(
    WORKDAY(E851-1,1)=E851,
    _xlfn.CONCAT(F851:G851)=""
  ),
  _xlfn.MAXIFS(I$2:I850,C$2:C850,C851,B$2:B850,B851)+1,
  ""
)</f>
        <v>20</v>
      </c>
    </row>
    <row r="852" spans="2:9" x14ac:dyDescent="0.25">
      <c r="B852" s="2">
        <f t="shared" si="43"/>
        <v>2027</v>
      </c>
      <c r="C852" s="2" t="str">
        <f t="shared" si="44"/>
        <v>October</v>
      </c>
      <c r="D852" s="2" t="str">
        <f t="shared" si="42"/>
        <v>Friday</v>
      </c>
      <c r="E852" s="4">
        <v>46689</v>
      </c>
      <c r="H852" s="3" t="str">
        <f>IF(OR(Table1[[#This Row],[US Holiday]]&lt;&gt;"", Table1[[#This Row],[India Holiday]]&lt;&gt;""), "Yes", "No")</f>
        <v>No</v>
      </c>
      <c r="I852" s="2">
        <f>IF(
  AND(
    WORKDAY(E852-1,1)=E852,
    _xlfn.CONCAT(F852:G852)=""
  ),
  _xlfn.MAXIFS(I$2:I851,C$2:C851,C852,B$2:B851,B852)+1,
  ""
)</f>
        <v>21</v>
      </c>
    </row>
    <row r="853" spans="2:9" x14ac:dyDescent="0.25">
      <c r="B853" s="2">
        <f t="shared" si="43"/>
        <v>2027</v>
      </c>
      <c r="C853" s="2" t="str">
        <f t="shared" si="44"/>
        <v>October</v>
      </c>
      <c r="D853" s="2" t="str">
        <f t="shared" si="42"/>
        <v>Saturday</v>
      </c>
      <c r="E853" s="4">
        <v>46690</v>
      </c>
      <c r="H853" s="3" t="str">
        <f>IF(OR(Table1[[#This Row],[US Holiday]]&lt;&gt;"", Table1[[#This Row],[India Holiday]]&lt;&gt;""), "Yes", "No")</f>
        <v>No</v>
      </c>
      <c r="I853" s="2" t="str">
        <f>IF(
  AND(
    WORKDAY(E853-1,1)=E853,
    _xlfn.CONCAT(F853:G853)=""
  ),
  _xlfn.MAXIFS(I$2:I852,C$2:C852,C853,B$2:B852,B853)+1,
  ""
)</f>
        <v/>
      </c>
    </row>
    <row r="854" spans="2:9" x14ac:dyDescent="0.25">
      <c r="B854" s="2">
        <f t="shared" si="43"/>
        <v>2027</v>
      </c>
      <c r="C854" s="2" t="str">
        <f t="shared" si="44"/>
        <v>October</v>
      </c>
      <c r="D854" s="2" t="str">
        <f t="shared" si="42"/>
        <v>Sunday</v>
      </c>
      <c r="E854" s="4">
        <v>46691</v>
      </c>
      <c r="H854" s="3" t="str">
        <f>IF(OR(Table1[[#This Row],[US Holiday]]&lt;&gt;"", Table1[[#This Row],[India Holiday]]&lt;&gt;""), "Yes", "No")</f>
        <v>No</v>
      </c>
      <c r="I854" s="2" t="str">
        <f>IF(
  AND(
    WORKDAY(E854-1,1)=E854,
    _xlfn.CONCAT(F854:G854)=""
  ),
  _xlfn.MAXIFS(I$2:I853,C$2:C853,C854,B$2:B853,B854)+1,
  ""
)</f>
        <v/>
      </c>
    </row>
    <row r="855" spans="2:9" x14ac:dyDescent="0.25">
      <c r="B855" s="2">
        <f t="shared" si="43"/>
        <v>2027</v>
      </c>
      <c r="C855" s="2" t="str">
        <f t="shared" si="44"/>
        <v>November</v>
      </c>
      <c r="D855" s="2" t="str">
        <f t="shared" si="42"/>
        <v>Monday</v>
      </c>
      <c r="E855" s="4">
        <v>46692</v>
      </c>
      <c r="H855" s="3" t="str">
        <f>IF(OR(Table1[[#This Row],[US Holiday]]&lt;&gt;"", Table1[[#This Row],[India Holiday]]&lt;&gt;""), "Yes", "No")</f>
        <v>No</v>
      </c>
      <c r="I855" s="2">
        <f>IF(
  AND(
    WORKDAY(E855-1,1)=E855,
    _xlfn.CONCAT(F855:G855)=""
  ),
  _xlfn.MAXIFS(I$2:I854,C$2:C854,C855,B$2:B854,B855)+1,
  ""
)</f>
        <v>1</v>
      </c>
    </row>
    <row r="856" spans="2:9" x14ac:dyDescent="0.25">
      <c r="B856" s="2">
        <f t="shared" si="43"/>
        <v>2027</v>
      </c>
      <c r="C856" s="2" t="str">
        <f t="shared" si="44"/>
        <v>November</v>
      </c>
      <c r="D856" s="2" t="str">
        <f t="shared" si="42"/>
        <v>Tuesday</v>
      </c>
      <c r="E856" s="4">
        <v>46693</v>
      </c>
      <c r="H856" s="3" t="str">
        <f>IF(OR(Table1[[#This Row],[US Holiday]]&lt;&gt;"", Table1[[#This Row],[India Holiday]]&lt;&gt;""), "Yes", "No")</f>
        <v>No</v>
      </c>
      <c r="I856" s="2">
        <f>IF(
  AND(
    WORKDAY(E856-1,1)=E856,
    _xlfn.CONCAT(F856:G856)=""
  ),
  _xlfn.MAXIFS(I$2:I855,C$2:C855,C856,B$2:B855,B856)+1,
  ""
)</f>
        <v>2</v>
      </c>
    </row>
    <row r="857" spans="2:9" x14ac:dyDescent="0.25">
      <c r="B857" s="2">
        <f t="shared" si="43"/>
        <v>2027</v>
      </c>
      <c r="C857" s="2" t="str">
        <f t="shared" si="44"/>
        <v>November</v>
      </c>
      <c r="D857" s="2" t="str">
        <f t="shared" si="42"/>
        <v>Wednesday</v>
      </c>
      <c r="E857" s="4">
        <v>46694</v>
      </c>
      <c r="H857" s="3" t="str">
        <f>IF(OR(Table1[[#This Row],[US Holiday]]&lt;&gt;"", Table1[[#This Row],[India Holiday]]&lt;&gt;""), "Yes", "No")</f>
        <v>No</v>
      </c>
      <c r="I857" s="2">
        <f>IF(
  AND(
    WORKDAY(E857-1,1)=E857,
    _xlfn.CONCAT(F857:G857)=""
  ),
  _xlfn.MAXIFS(I$2:I856,C$2:C856,C857,B$2:B856,B857)+1,
  ""
)</f>
        <v>3</v>
      </c>
    </row>
    <row r="858" spans="2:9" x14ac:dyDescent="0.25">
      <c r="B858" s="2">
        <f t="shared" si="43"/>
        <v>2027</v>
      </c>
      <c r="C858" s="2" t="str">
        <f t="shared" si="44"/>
        <v>November</v>
      </c>
      <c r="D858" s="2" t="str">
        <f t="shared" si="42"/>
        <v>Thursday</v>
      </c>
      <c r="E858" s="4">
        <v>46695</v>
      </c>
      <c r="H858" s="3" t="str">
        <f>IF(OR(Table1[[#This Row],[US Holiday]]&lt;&gt;"", Table1[[#This Row],[India Holiday]]&lt;&gt;""), "Yes", "No")</f>
        <v>No</v>
      </c>
      <c r="I858" s="2">
        <f>IF(
  AND(
    WORKDAY(E858-1,1)=E858,
    _xlfn.CONCAT(F858:G858)=""
  ),
  _xlfn.MAXIFS(I$2:I857,C$2:C857,C858,B$2:B857,B858)+1,
  ""
)</f>
        <v>4</v>
      </c>
    </row>
    <row r="859" spans="2:9" x14ac:dyDescent="0.25">
      <c r="B859" s="2">
        <f t="shared" si="43"/>
        <v>2027</v>
      </c>
      <c r="C859" s="2" t="str">
        <f t="shared" si="44"/>
        <v>November</v>
      </c>
      <c r="D859" s="2" t="str">
        <f t="shared" si="42"/>
        <v>Friday</v>
      </c>
      <c r="E859" s="4">
        <v>46696</v>
      </c>
      <c r="H859" s="3" t="str">
        <f>IF(OR(Table1[[#This Row],[US Holiday]]&lt;&gt;"", Table1[[#This Row],[India Holiday]]&lt;&gt;""), "Yes", "No")</f>
        <v>No</v>
      </c>
      <c r="I859" s="2">
        <f>IF(
  AND(
    WORKDAY(E859-1,1)=E859,
    _xlfn.CONCAT(F859:G859)=""
  ),
  _xlfn.MAXIFS(I$2:I858,C$2:C858,C859,B$2:B858,B859)+1,
  ""
)</f>
        <v>5</v>
      </c>
    </row>
    <row r="860" spans="2:9" x14ac:dyDescent="0.25">
      <c r="B860" s="2">
        <f t="shared" si="43"/>
        <v>2027</v>
      </c>
      <c r="C860" s="2" t="str">
        <f t="shared" si="44"/>
        <v>November</v>
      </c>
      <c r="D860" s="2" t="str">
        <f t="shared" si="42"/>
        <v>Saturday</v>
      </c>
      <c r="E860" s="4">
        <v>46697</v>
      </c>
      <c r="H860" s="3" t="str">
        <f>IF(OR(Table1[[#This Row],[US Holiday]]&lt;&gt;"", Table1[[#This Row],[India Holiday]]&lt;&gt;""), "Yes", "No")</f>
        <v>No</v>
      </c>
      <c r="I860" s="2" t="str">
        <f>IF(
  AND(
    WORKDAY(E860-1,1)=E860,
    _xlfn.CONCAT(F860:G860)=""
  ),
  _xlfn.MAXIFS(I$2:I859,C$2:C859,C860,B$2:B859,B860)+1,
  ""
)</f>
        <v/>
      </c>
    </row>
    <row r="861" spans="2:9" x14ac:dyDescent="0.25">
      <c r="B861" s="2">
        <f t="shared" si="43"/>
        <v>2027</v>
      </c>
      <c r="C861" s="2" t="str">
        <f t="shared" si="44"/>
        <v>November</v>
      </c>
      <c r="D861" s="2" t="str">
        <f t="shared" si="42"/>
        <v>Sunday</v>
      </c>
      <c r="E861" s="4">
        <v>46698</v>
      </c>
      <c r="H861" s="3" t="str">
        <f>IF(OR(Table1[[#This Row],[US Holiday]]&lt;&gt;"", Table1[[#This Row],[India Holiday]]&lt;&gt;""), "Yes", "No")</f>
        <v>No</v>
      </c>
      <c r="I861" s="2" t="str">
        <f>IF(
  AND(
    WORKDAY(E861-1,1)=E861,
    _xlfn.CONCAT(F861:G861)=""
  ),
  _xlfn.MAXIFS(I$2:I860,C$2:C860,C861,B$2:B860,B861)+1,
  ""
)</f>
        <v/>
      </c>
    </row>
    <row r="862" spans="2:9" x14ac:dyDescent="0.25">
      <c r="B862" s="2">
        <f t="shared" si="43"/>
        <v>2027</v>
      </c>
      <c r="C862" s="2" t="str">
        <f t="shared" si="44"/>
        <v>November</v>
      </c>
      <c r="D862" s="2" t="str">
        <f t="shared" si="42"/>
        <v>Monday</v>
      </c>
      <c r="E862" s="4">
        <v>46699</v>
      </c>
      <c r="H862" s="3" t="str">
        <f>IF(OR(Table1[[#This Row],[US Holiday]]&lt;&gt;"", Table1[[#This Row],[India Holiday]]&lt;&gt;""), "Yes", "No")</f>
        <v>No</v>
      </c>
      <c r="I862" s="2">
        <f>IF(
  AND(
    WORKDAY(E862-1,1)=E862,
    _xlfn.CONCAT(F862:G862)=""
  ),
  _xlfn.MAXIFS(I$2:I861,C$2:C861,C862,B$2:B861,B862)+1,
  ""
)</f>
        <v>6</v>
      </c>
    </row>
    <row r="863" spans="2:9" x14ac:dyDescent="0.25">
      <c r="B863" s="2">
        <f t="shared" si="43"/>
        <v>2027</v>
      </c>
      <c r="C863" s="2" t="str">
        <f t="shared" si="44"/>
        <v>November</v>
      </c>
      <c r="D863" s="2" t="str">
        <f t="shared" si="42"/>
        <v>Tuesday</v>
      </c>
      <c r="E863" s="4">
        <v>46700</v>
      </c>
      <c r="H863" s="3" t="str">
        <f>IF(OR(Table1[[#This Row],[US Holiday]]&lt;&gt;"", Table1[[#This Row],[India Holiday]]&lt;&gt;""), "Yes", "No")</f>
        <v>No</v>
      </c>
      <c r="I863" s="2">
        <f>IF(
  AND(
    WORKDAY(E863-1,1)=E863,
    _xlfn.CONCAT(F863:G863)=""
  ),
  _xlfn.MAXIFS(I$2:I862,C$2:C862,C863,B$2:B862,B863)+1,
  ""
)</f>
        <v>7</v>
      </c>
    </row>
    <row r="864" spans="2:9" x14ac:dyDescent="0.25">
      <c r="B864" s="2">
        <f t="shared" si="43"/>
        <v>2027</v>
      </c>
      <c r="C864" s="2" t="str">
        <f t="shared" si="44"/>
        <v>November</v>
      </c>
      <c r="D864" s="2" t="str">
        <f t="shared" si="42"/>
        <v>Wednesday</v>
      </c>
      <c r="E864" s="4">
        <v>46701</v>
      </c>
      <c r="H864" s="3" t="str">
        <f>IF(OR(Table1[[#This Row],[US Holiday]]&lt;&gt;"", Table1[[#This Row],[India Holiday]]&lt;&gt;""), "Yes", "No")</f>
        <v>No</v>
      </c>
      <c r="I864" s="2">
        <f>IF(
  AND(
    WORKDAY(E864-1,1)=E864,
    _xlfn.CONCAT(F864:G864)=""
  ),
  _xlfn.MAXIFS(I$2:I863,C$2:C863,C864,B$2:B863,B864)+1,
  ""
)</f>
        <v>8</v>
      </c>
    </row>
    <row r="865" spans="2:9" x14ac:dyDescent="0.25">
      <c r="B865" s="2">
        <f t="shared" si="43"/>
        <v>2027</v>
      </c>
      <c r="C865" s="2" t="str">
        <f t="shared" si="44"/>
        <v>November</v>
      </c>
      <c r="D865" s="2" t="str">
        <f t="shared" si="42"/>
        <v>Thursday</v>
      </c>
      <c r="E865" s="4">
        <v>46702</v>
      </c>
      <c r="H865" s="3" t="str">
        <f>IF(OR(Table1[[#This Row],[US Holiday]]&lt;&gt;"", Table1[[#This Row],[India Holiday]]&lt;&gt;""), "Yes", "No")</f>
        <v>No</v>
      </c>
      <c r="I865" s="2">
        <f>IF(
  AND(
    WORKDAY(E865-1,1)=E865,
    _xlfn.CONCAT(F865:G865)=""
  ),
  _xlfn.MAXIFS(I$2:I864,C$2:C864,C865,B$2:B864,B865)+1,
  ""
)</f>
        <v>9</v>
      </c>
    </row>
    <row r="866" spans="2:9" x14ac:dyDescent="0.25">
      <c r="B866" s="2">
        <f t="shared" si="43"/>
        <v>2027</v>
      </c>
      <c r="C866" s="2" t="str">
        <f t="shared" si="44"/>
        <v>November</v>
      </c>
      <c r="D866" s="2" t="str">
        <f t="shared" si="42"/>
        <v>Friday</v>
      </c>
      <c r="E866" s="4">
        <v>46703</v>
      </c>
      <c r="H866" s="3" t="str">
        <f>IF(OR(Table1[[#This Row],[US Holiday]]&lt;&gt;"", Table1[[#This Row],[India Holiday]]&lt;&gt;""), "Yes", "No")</f>
        <v>No</v>
      </c>
      <c r="I866" s="2">
        <f>IF(
  AND(
    WORKDAY(E866-1,1)=E866,
    _xlfn.CONCAT(F866:G866)=""
  ),
  _xlfn.MAXIFS(I$2:I865,C$2:C865,C866,B$2:B865,B866)+1,
  ""
)</f>
        <v>10</v>
      </c>
    </row>
    <row r="867" spans="2:9" x14ac:dyDescent="0.25">
      <c r="B867" s="2">
        <f t="shared" si="43"/>
        <v>2027</v>
      </c>
      <c r="C867" s="2" t="str">
        <f t="shared" si="44"/>
        <v>November</v>
      </c>
      <c r="D867" s="2" t="str">
        <f t="shared" si="42"/>
        <v>Saturday</v>
      </c>
      <c r="E867" s="4">
        <v>46704</v>
      </c>
      <c r="H867" s="3" t="str">
        <f>IF(OR(Table1[[#This Row],[US Holiday]]&lt;&gt;"", Table1[[#This Row],[India Holiday]]&lt;&gt;""), "Yes", "No")</f>
        <v>No</v>
      </c>
      <c r="I867" s="2" t="str">
        <f>IF(
  AND(
    WORKDAY(E867-1,1)=E867,
    _xlfn.CONCAT(F867:G867)=""
  ),
  _xlfn.MAXIFS(I$2:I866,C$2:C866,C867,B$2:B866,B867)+1,
  ""
)</f>
        <v/>
      </c>
    </row>
    <row r="868" spans="2:9" x14ac:dyDescent="0.25">
      <c r="B868" s="2">
        <f t="shared" si="43"/>
        <v>2027</v>
      </c>
      <c r="C868" s="2" t="str">
        <f t="shared" si="44"/>
        <v>November</v>
      </c>
      <c r="D868" s="2" t="str">
        <f t="shared" si="42"/>
        <v>Sunday</v>
      </c>
      <c r="E868" s="4">
        <v>46705</v>
      </c>
      <c r="H868" s="3" t="str">
        <f>IF(OR(Table1[[#This Row],[US Holiday]]&lt;&gt;"", Table1[[#This Row],[India Holiday]]&lt;&gt;""), "Yes", "No")</f>
        <v>No</v>
      </c>
      <c r="I868" s="2" t="str">
        <f>IF(
  AND(
    WORKDAY(E868-1,1)=E868,
    _xlfn.CONCAT(F868:G868)=""
  ),
  _xlfn.MAXIFS(I$2:I867,C$2:C867,C868,B$2:B867,B868)+1,
  ""
)</f>
        <v/>
      </c>
    </row>
    <row r="869" spans="2:9" x14ac:dyDescent="0.25">
      <c r="B869" s="2">
        <f t="shared" si="43"/>
        <v>2027</v>
      </c>
      <c r="C869" s="2" t="str">
        <f t="shared" si="44"/>
        <v>November</v>
      </c>
      <c r="D869" s="2" t="str">
        <f t="shared" si="42"/>
        <v>Monday</v>
      </c>
      <c r="E869" s="4">
        <v>46706</v>
      </c>
      <c r="H869" s="3" t="str">
        <f>IF(OR(Table1[[#This Row],[US Holiday]]&lt;&gt;"", Table1[[#This Row],[India Holiday]]&lt;&gt;""), "Yes", "No")</f>
        <v>No</v>
      </c>
      <c r="I869" s="2">
        <f>IF(
  AND(
    WORKDAY(E869-1,1)=E869,
    _xlfn.CONCAT(F869:G869)=""
  ),
  _xlfn.MAXIFS(I$2:I868,C$2:C868,C869,B$2:B868,B869)+1,
  ""
)</f>
        <v>11</v>
      </c>
    </row>
    <row r="870" spans="2:9" x14ac:dyDescent="0.25">
      <c r="B870" s="2">
        <f t="shared" si="43"/>
        <v>2027</v>
      </c>
      <c r="C870" s="2" t="str">
        <f t="shared" si="44"/>
        <v>November</v>
      </c>
      <c r="D870" s="2" t="str">
        <f t="shared" si="42"/>
        <v>Tuesday</v>
      </c>
      <c r="E870" s="4">
        <v>46707</v>
      </c>
      <c r="H870" s="3" t="str">
        <f>IF(OR(Table1[[#This Row],[US Holiday]]&lt;&gt;"", Table1[[#This Row],[India Holiday]]&lt;&gt;""), "Yes", "No")</f>
        <v>No</v>
      </c>
      <c r="I870" s="2">
        <f>IF(
  AND(
    WORKDAY(E870-1,1)=E870,
    _xlfn.CONCAT(F870:G870)=""
  ),
  _xlfn.MAXIFS(I$2:I869,C$2:C869,C870,B$2:B869,B870)+1,
  ""
)</f>
        <v>12</v>
      </c>
    </row>
    <row r="871" spans="2:9" x14ac:dyDescent="0.25">
      <c r="B871" s="2">
        <f t="shared" si="43"/>
        <v>2027</v>
      </c>
      <c r="C871" s="2" t="str">
        <f t="shared" si="44"/>
        <v>November</v>
      </c>
      <c r="D871" s="2" t="str">
        <f t="shared" si="42"/>
        <v>Wednesday</v>
      </c>
      <c r="E871" s="4">
        <v>46708</v>
      </c>
      <c r="H871" s="3" t="str">
        <f>IF(OR(Table1[[#This Row],[US Holiday]]&lt;&gt;"", Table1[[#This Row],[India Holiday]]&lt;&gt;""), "Yes", "No")</f>
        <v>No</v>
      </c>
      <c r="I871" s="2">
        <f>IF(
  AND(
    WORKDAY(E871-1,1)=E871,
    _xlfn.CONCAT(F871:G871)=""
  ),
  _xlfn.MAXIFS(I$2:I870,C$2:C870,C871,B$2:B870,B871)+1,
  ""
)</f>
        <v>13</v>
      </c>
    </row>
    <row r="872" spans="2:9" x14ac:dyDescent="0.25">
      <c r="B872" s="2">
        <f t="shared" si="43"/>
        <v>2027</v>
      </c>
      <c r="C872" s="2" t="str">
        <f t="shared" si="44"/>
        <v>November</v>
      </c>
      <c r="D872" s="2" t="str">
        <f t="shared" si="42"/>
        <v>Thursday</v>
      </c>
      <c r="E872" s="4">
        <v>46709</v>
      </c>
      <c r="H872" s="3" t="str">
        <f>IF(OR(Table1[[#This Row],[US Holiday]]&lt;&gt;"", Table1[[#This Row],[India Holiday]]&lt;&gt;""), "Yes", "No")</f>
        <v>No</v>
      </c>
      <c r="I872" s="2">
        <f>IF(
  AND(
    WORKDAY(E872-1,1)=E872,
    _xlfn.CONCAT(F872:G872)=""
  ),
  _xlfn.MAXIFS(I$2:I871,C$2:C871,C872,B$2:B871,B872)+1,
  ""
)</f>
        <v>14</v>
      </c>
    </row>
    <row r="873" spans="2:9" x14ac:dyDescent="0.25">
      <c r="B873" s="2">
        <f t="shared" si="43"/>
        <v>2027</v>
      </c>
      <c r="C873" s="2" t="str">
        <f t="shared" si="44"/>
        <v>November</v>
      </c>
      <c r="D873" s="2" t="str">
        <f t="shared" si="42"/>
        <v>Friday</v>
      </c>
      <c r="E873" s="4">
        <v>46710</v>
      </c>
      <c r="H873" s="3" t="str">
        <f>IF(OR(Table1[[#This Row],[US Holiday]]&lt;&gt;"", Table1[[#This Row],[India Holiday]]&lt;&gt;""), "Yes", "No")</f>
        <v>No</v>
      </c>
      <c r="I873" s="2">
        <f>IF(
  AND(
    WORKDAY(E873-1,1)=E873,
    _xlfn.CONCAT(F873:G873)=""
  ),
  _xlfn.MAXIFS(I$2:I872,C$2:C872,C873,B$2:B872,B873)+1,
  ""
)</f>
        <v>15</v>
      </c>
    </row>
    <row r="874" spans="2:9" x14ac:dyDescent="0.25">
      <c r="B874" s="2">
        <f t="shared" si="43"/>
        <v>2027</v>
      </c>
      <c r="C874" s="2" t="str">
        <f t="shared" si="44"/>
        <v>November</v>
      </c>
      <c r="D874" s="2" t="str">
        <f t="shared" si="42"/>
        <v>Saturday</v>
      </c>
      <c r="E874" s="4">
        <v>46711</v>
      </c>
      <c r="H874" s="3" t="str">
        <f>IF(OR(Table1[[#This Row],[US Holiday]]&lt;&gt;"", Table1[[#This Row],[India Holiday]]&lt;&gt;""), "Yes", "No")</f>
        <v>No</v>
      </c>
      <c r="I874" s="2" t="str">
        <f>IF(
  AND(
    WORKDAY(E874-1,1)=E874,
    _xlfn.CONCAT(F874:G874)=""
  ),
  _xlfn.MAXIFS(I$2:I873,C$2:C873,C874,B$2:B873,B874)+1,
  ""
)</f>
        <v/>
      </c>
    </row>
    <row r="875" spans="2:9" x14ac:dyDescent="0.25">
      <c r="B875" s="2">
        <f t="shared" si="43"/>
        <v>2027</v>
      </c>
      <c r="C875" s="2" t="str">
        <f t="shared" si="44"/>
        <v>November</v>
      </c>
      <c r="D875" s="2" t="str">
        <f t="shared" si="42"/>
        <v>Sunday</v>
      </c>
      <c r="E875" s="4">
        <v>46712</v>
      </c>
      <c r="H875" s="3" t="str">
        <f>IF(OR(Table1[[#This Row],[US Holiday]]&lt;&gt;"", Table1[[#This Row],[India Holiday]]&lt;&gt;""), "Yes", "No")</f>
        <v>No</v>
      </c>
      <c r="I875" s="2" t="str">
        <f>IF(
  AND(
    WORKDAY(E875-1,1)=E875,
    _xlfn.CONCAT(F875:G875)=""
  ),
  _xlfn.MAXIFS(I$2:I874,C$2:C874,C875,B$2:B874,B875)+1,
  ""
)</f>
        <v/>
      </c>
    </row>
    <row r="876" spans="2:9" x14ac:dyDescent="0.25">
      <c r="B876" s="2">
        <f t="shared" ref="B876:B889" si="45">YEAR(E876)</f>
        <v>2027</v>
      </c>
      <c r="C876" s="2" t="str">
        <f t="shared" ref="C876:C889" si="46">TEXT(E876,"mmmm")</f>
        <v>November</v>
      </c>
      <c r="D876" s="2" t="str">
        <f t="shared" si="42"/>
        <v>Monday</v>
      </c>
      <c r="E876" s="4">
        <v>46713</v>
      </c>
      <c r="H876" s="3" t="str">
        <f>IF(OR(Table1[[#This Row],[US Holiday]]&lt;&gt;"", Table1[[#This Row],[India Holiday]]&lt;&gt;""), "Yes", "No")</f>
        <v>No</v>
      </c>
      <c r="I876" s="2">
        <f>IF(
  AND(
    WORKDAY(E876-1,1)=E876,
    _xlfn.CONCAT(F876:G876)=""
  ),
  _xlfn.MAXIFS(I$2:I875,C$2:C875,C876,B$2:B875,B876)+1,
  ""
)</f>
        <v>16</v>
      </c>
    </row>
    <row r="877" spans="2:9" x14ac:dyDescent="0.25">
      <c r="B877" s="2">
        <f t="shared" si="45"/>
        <v>2027</v>
      </c>
      <c r="C877" s="2" t="str">
        <f t="shared" si="46"/>
        <v>November</v>
      </c>
      <c r="D877" s="2" t="str">
        <f t="shared" si="42"/>
        <v>Tuesday</v>
      </c>
      <c r="E877" s="4">
        <v>46714</v>
      </c>
      <c r="H877" s="3" t="str">
        <f>IF(OR(Table1[[#This Row],[US Holiday]]&lt;&gt;"", Table1[[#This Row],[India Holiday]]&lt;&gt;""), "Yes", "No")</f>
        <v>No</v>
      </c>
      <c r="I877" s="2">
        <f>IF(
  AND(
    WORKDAY(E877-1,1)=E877,
    _xlfn.CONCAT(F877:G877)=""
  ),
  _xlfn.MAXIFS(I$2:I876,C$2:C876,C877,B$2:B876,B877)+1,
  ""
)</f>
        <v>17</v>
      </c>
    </row>
    <row r="878" spans="2:9" x14ac:dyDescent="0.25">
      <c r="B878" s="2">
        <f t="shared" si="45"/>
        <v>2027</v>
      </c>
      <c r="C878" s="2" t="str">
        <f t="shared" si="46"/>
        <v>November</v>
      </c>
      <c r="D878" s="2" t="str">
        <f t="shared" si="42"/>
        <v>Wednesday</v>
      </c>
      <c r="E878" s="4">
        <v>46715</v>
      </c>
      <c r="H878" s="3" t="str">
        <f>IF(OR(Table1[[#This Row],[US Holiday]]&lt;&gt;"", Table1[[#This Row],[India Holiday]]&lt;&gt;""), "Yes", "No")</f>
        <v>No</v>
      </c>
      <c r="I878" s="2">
        <f>IF(
  AND(
    WORKDAY(E878-1,1)=E878,
    _xlfn.CONCAT(F878:G878)=""
  ),
  _xlfn.MAXIFS(I$2:I877,C$2:C877,C878,B$2:B877,B878)+1,
  ""
)</f>
        <v>18</v>
      </c>
    </row>
    <row r="879" spans="2:9" x14ac:dyDescent="0.25">
      <c r="B879" s="2">
        <f t="shared" si="45"/>
        <v>2027</v>
      </c>
      <c r="C879" s="2" t="str">
        <f t="shared" si="46"/>
        <v>November</v>
      </c>
      <c r="D879" s="2" t="str">
        <f t="shared" si="42"/>
        <v>Thursday</v>
      </c>
      <c r="E879" s="4">
        <v>46716</v>
      </c>
      <c r="H879" s="3" t="str">
        <f>IF(OR(Table1[[#This Row],[US Holiday]]&lt;&gt;"", Table1[[#This Row],[India Holiday]]&lt;&gt;""), "Yes", "No")</f>
        <v>No</v>
      </c>
      <c r="I879" s="2">
        <f>IF(
  AND(
    WORKDAY(E879-1,1)=E879,
    _xlfn.CONCAT(F879:G879)=""
  ),
  _xlfn.MAXIFS(I$2:I878,C$2:C878,C879,B$2:B878,B879)+1,
  ""
)</f>
        <v>19</v>
      </c>
    </row>
    <row r="880" spans="2:9" x14ac:dyDescent="0.25">
      <c r="B880" s="2">
        <f t="shared" si="45"/>
        <v>2027</v>
      </c>
      <c r="C880" s="2" t="str">
        <f t="shared" si="46"/>
        <v>November</v>
      </c>
      <c r="D880" s="2" t="str">
        <f t="shared" si="42"/>
        <v>Friday</v>
      </c>
      <c r="E880" s="4">
        <v>46717</v>
      </c>
      <c r="H880" s="3" t="str">
        <f>IF(OR(Table1[[#This Row],[US Holiday]]&lt;&gt;"", Table1[[#This Row],[India Holiday]]&lt;&gt;""), "Yes", "No")</f>
        <v>No</v>
      </c>
      <c r="I880" s="2">
        <f>IF(
  AND(
    WORKDAY(E880-1,1)=E880,
    _xlfn.CONCAT(F880:G880)=""
  ),
  _xlfn.MAXIFS(I$2:I879,C$2:C879,C880,B$2:B879,B880)+1,
  ""
)</f>
        <v>20</v>
      </c>
    </row>
    <row r="881" spans="2:9" x14ac:dyDescent="0.25">
      <c r="B881" s="2">
        <f t="shared" si="45"/>
        <v>2027</v>
      </c>
      <c r="C881" s="2" t="str">
        <f t="shared" si="46"/>
        <v>November</v>
      </c>
      <c r="D881" s="2" t="str">
        <f t="shared" si="42"/>
        <v>Saturday</v>
      </c>
      <c r="E881" s="4">
        <v>46718</v>
      </c>
      <c r="H881" s="3" t="str">
        <f>IF(OR(Table1[[#This Row],[US Holiday]]&lt;&gt;"", Table1[[#This Row],[India Holiday]]&lt;&gt;""), "Yes", "No")</f>
        <v>No</v>
      </c>
      <c r="I881" s="2" t="str">
        <f>IF(
  AND(
    WORKDAY(E881-1,1)=E881,
    _xlfn.CONCAT(F881:G881)=""
  ),
  _xlfn.MAXIFS(I$2:I880,C$2:C880,C881,B$2:B880,B881)+1,
  ""
)</f>
        <v/>
      </c>
    </row>
    <row r="882" spans="2:9" x14ac:dyDescent="0.25">
      <c r="B882" s="2">
        <f t="shared" si="45"/>
        <v>2027</v>
      </c>
      <c r="C882" s="2" t="str">
        <f t="shared" si="46"/>
        <v>November</v>
      </c>
      <c r="D882" s="2" t="str">
        <f t="shared" si="42"/>
        <v>Sunday</v>
      </c>
      <c r="E882" s="4">
        <v>46719</v>
      </c>
      <c r="H882" s="3" t="str">
        <f>IF(OR(Table1[[#This Row],[US Holiday]]&lt;&gt;"", Table1[[#This Row],[India Holiday]]&lt;&gt;""), "Yes", "No")</f>
        <v>No</v>
      </c>
      <c r="I882" s="2" t="str">
        <f>IF(
  AND(
    WORKDAY(E882-1,1)=E882,
    _xlfn.CONCAT(F882:G882)=""
  ),
  _xlfn.MAXIFS(I$2:I881,C$2:C881,C882,B$2:B881,B882)+1,
  ""
)</f>
        <v/>
      </c>
    </row>
    <row r="883" spans="2:9" x14ac:dyDescent="0.25">
      <c r="B883" s="2">
        <f t="shared" si="45"/>
        <v>2027</v>
      </c>
      <c r="C883" s="2" t="str">
        <f t="shared" si="46"/>
        <v>November</v>
      </c>
      <c r="D883" s="2" t="str">
        <f t="shared" si="42"/>
        <v>Monday</v>
      </c>
      <c r="E883" s="4">
        <v>46720</v>
      </c>
      <c r="H883" s="3" t="str">
        <f>IF(OR(Table1[[#This Row],[US Holiday]]&lt;&gt;"", Table1[[#This Row],[India Holiday]]&lt;&gt;""), "Yes", "No")</f>
        <v>No</v>
      </c>
      <c r="I883" s="2">
        <f>IF(
  AND(
    WORKDAY(E883-1,1)=E883,
    _xlfn.CONCAT(F883:G883)=""
  ),
  _xlfn.MAXIFS(I$2:I882,C$2:C882,C883,B$2:B882,B883)+1,
  ""
)</f>
        <v>21</v>
      </c>
    </row>
    <row r="884" spans="2:9" x14ac:dyDescent="0.25">
      <c r="B884" s="2">
        <f t="shared" si="45"/>
        <v>2027</v>
      </c>
      <c r="C884" s="2" t="str">
        <f t="shared" si="46"/>
        <v>November</v>
      </c>
      <c r="D884" s="2" t="str">
        <f t="shared" si="42"/>
        <v>Tuesday</v>
      </c>
      <c r="E884" s="4">
        <v>46721</v>
      </c>
      <c r="H884" s="3" t="str">
        <f>IF(OR(Table1[[#This Row],[US Holiday]]&lt;&gt;"", Table1[[#This Row],[India Holiday]]&lt;&gt;""), "Yes", "No")</f>
        <v>No</v>
      </c>
      <c r="I884" s="2">
        <f>IF(
  AND(
    WORKDAY(E884-1,1)=E884,
    _xlfn.CONCAT(F884:G884)=""
  ),
  _xlfn.MAXIFS(I$2:I883,C$2:C883,C884,B$2:B883,B884)+1,
  ""
)</f>
        <v>22</v>
      </c>
    </row>
    <row r="885" spans="2:9" x14ac:dyDescent="0.25">
      <c r="B885" s="2">
        <f t="shared" si="45"/>
        <v>2027</v>
      </c>
      <c r="C885" s="2" t="str">
        <f t="shared" si="46"/>
        <v>December</v>
      </c>
      <c r="D885" s="2" t="str">
        <f t="shared" si="42"/>
        <v>Wednesday</v>
      </c>
      <c r="E885" s="4">
        <v>46722</v>
      </c>
      <c r="H885" s="3" t="str">
        <f>IF(OR(Table1[[#This Row],[US Holiday]]&lt;&gt;"", Table1[[#This Row],[India Holiday]]&lt;&gt;""), "Yes", "No")</f>
        <v>No</v>
      </c>
      <c r="I885" s="2">
        <f>IF(
  AND(
    WORKDAY(E885-1,1)=E885,
    _xlfn.CONCAT(F885:G885)=""
  ),
  _xlfn.MAXIFS(I$2:I884,C$2:C884,C885,B$2:B884,B885)+1,
  ""
)</f>
        <v>1</v>
      </c>
    </row>
    <row r="886" spans="2:9" x14ac:dyDescent="0.25">
      <c r="B886" s="2">
        <f t="shared" si="45"/>
        <v>2027</v>
      </c>
      <c r="C886" s="2" t="str">
        <f t="shared" si="46"/>
        <v>December</v>
      </c>
      <c r="D886" s="2" t="str">
        <f t="shared" si="42"/>
        <v>Thursday</v>
      </c>
      <c r="E886" s="4">
        <v>46723</v>
      </c>
      <c r="H886" s="3" t="str">
        <f>IF(OR(Table1[[#This Row],[US Holiday]]&lt;&gt;"", Table1[[#This Row],[India Holiday]]&lt;&gt;""), "Yes", "No")</f>
        <v>No</v>
      </c>
      <c r="I886" s="2">
        <f>IF(
  AND(
    WORKDAY(E886-1,1)=E886,
    _xlfn.CONCAT(F886:G886)=""
  ),
  _xlfn.MAXIFS(I$2:I885,C$2:C885,C886,B$2:B885,B886)+1,
  ""
)</f>
        <v>2</v>
      </c>
    </row>
    <row r="887" spans="2:9" x14ac:dyDescent="0.25">
      <c r="B887" s="2">
        <f t="shared" si="45"/>
        <v>2027</v>
      </c>
      <c r="C887" s="2" t="str">
        <f t="shared" si="46"/>
        <v>December</v>
      </c>
      <c r="D887" s="2" t="str">
        <f t="shared" si="42"/>
        <v>Friday</v>
      </c>
      <c r="E887" s="4">
        <v>46724</v>
      </c>
      <c r="H887" s="3" t="str">
        <f>IF(OR(Table1[[#This Row],[US Holiday]]&lt;&gt;"", Table1[[#This Row],[India Holiday]]&lt;&gt;""), "Yes", "No")</f>
        <v>No</v>
      </c>
      <c r="I887" s="2">
        <f>IF(
  AND(
    WORKDAY(E887-1,1)=E887,
    _xlfn.CONCAT(F887:G887)=""
  ),
  _xlfn.MAXIFS(I$2:I886,C$2:C886,C887,B$2:B886,B887)+1,
  ""
)</f>
        <v>3</v>
      </c>
    </row>
    <row r="888" spans="2:9" x14ac:dyDescent="0.25">
      <c r="B888" s="2">
        <f t="shared" si="45"/>
        <v>2027</v>
      </c>
      <c r="C888" s="2" t="str">
        <f t="shared" si="46"/>
        <v>December</v>
      </c>
      <c r="D888" s="2" t="str">
        <f t="shared" si="42"/>
        <v>Saturday</v>
      </c>
      <c r="E888" s="4">
        <v>46725</v>
      </c>
      <c r="H888" s="3" t="str">
        <f>IF(OR(Table1[[#This Row],[US Holiday]]&lt;&gt;"", Table1[[#This Row],[India Holiday]]&lt;&gt;""), "Yes", "No")</f>
        <v>No</v>
      </c>
      <c r="I888" s="2" t="str">
        <f>IF(
  AND(
    WORKDAY(E888-1,1)=E888,
    _xlfn.CONCAT(F888:G888)=""
  ),
  _xlfn.MAXIFS(I$2:I887,C$2:C887,C888,B$2:B887,B888)+1,
  ""
)</f>
        <v/>
      </c>
    </row>
    <row r="889" spans="2:9" x14ac:dyDescent="0.25">
      <c r="B889" s="2">
        <f t="shared" si="45"/>
        <v>2027</v>
      </c>
      <c r="C889" s="2" t="str">
        <f t="shared" si="46"/>
        <v>December</v>
      </c>
      <c r="D889" s="2" t="str">
        <f t="shared" si="42"/>
        <v>Sunday</v>
      </c>
      <c r="E889" s="4">
        <v>46726</v>
      </c>
      <c r="H889" s="3" t="str">
        <f>IF(OR(Table1[[#This Row],[US Holiday]]&lt;&gt;"", Table1[[#This Row],[India Holiday]]&lt;&gt;""), "Yes", "No")</f>
        <v>No</v>
      </c>
      <c r="I889" s="2" t="str">
        <f>IF(
  AND(
    WORKDAY(E889-1,1)=E889,
    _xlfn.CONCAT(F889:G889)=""
  ),
  _xlfn.MAXIFS(I$2:I888,C$2:C888,C889,B$2:B888,B889)+1,
  ""
)</f>
        <v/>
      </c>
    </row>
    <row r="890" spans="2:9" x14ac:dyDescent="0.25">
      <c r="B890" s="2">
        <f t="shared" ref="B890:B897" si="47">YEAR(E890)</f>
        <v>2027</v>
      </c>
      <c r="C890" s="2" t="str">
        <f t="shared" ref="C890:C897" si="48">TEXT(E890,"mmmm")</f>
        <v>December</v>
      </c>
      <c r="D890" s="2" t="str">
        <f t="shared" si="42"/>
        <v>Monday</v>
      </c>
      <c r="E890" s="4">
        <v>46727</v>
      </c>
      <c r="H890" s="3" t="str">
        <f>IF(OR(Table1[[#This Row],[US Holiday]]&lt;&gt;"", Table1[[#This Row],[India Holiday]]&lt;&gt;""), "Yes", "No")</f>
        <v>No</v>
      </c>
      <c r="I890" s="2">
        <f>IF(
  AND(
    WORKDAY(E890-1,1)=E890,
    _xlfn.CONCAT(F890:G890)=""
  ),
  _xlfn.MAXIFS(I$2:I889,C$2:C889,C890,B$2:B889,B890)+1,
  ""
)</f>
        <v>4</v>
      </c>
    </row>
    <row r="891" spans="2:9" x14ac:dyDescent="0.25">
      <c r="B891" s="2">
        <f t="shared" si="47"/>
        <v>2027</v>
      </c>
      <c r="C891" s="2" t="str">
        <f t="shared" si="48"/>
        <v>December</v>
      </c>
      <c r="D891" s="2" t="str">
        <f t="shared" si="42"/>
        <v>Tuesday</v>
      </c>
      <c r="E891" s="4">
        <v>46728</v>
      </c>
      <c r="H891" s="3" t="str">
        <f>IF(OR(Table1[[#This Row],[US Holiday]]&lt;&gt;"", Table1[[#This Row],[India Holiday]]&lt;&gt;""), "Yes", "No")</f>
        <v>No</v>
      </c>
      <c r="I891" s="2">
        <f>IF(
  AND(
    WORKDAY(E891-1,1)=E891,
    _xlfn.CONCAT(F891:G891)=""
  ),
  _xlfn.MAXIFS(I$2:I890,C$2:C890,C891,B$2:B890,B891)+1,
  ""
)</f>
        <v>5</v>
      </c>
    </row>
    <row r="892" spans="2:9" x14ac:dyDescent="0.25">
      <c r="B892" s="2">
        <f t="shared" si="47"/>
        <v>2027</v>
      </c>
      <c r="C892" s="2" t="str">
        <f t="shared" si="48"/>
        <v>December</v>
      </c>
      <c r="D892" s="2" t="str">
        <f t="shared" si="42"/>
        <v>Wednesday</v>
      </c>
      <c r="E892" s="4">
        <v>46729</v>
      </c>
      <c r="H892" s="3" t="str">
        <f>IF(OR(Table1[[#This Row],[US Holiday]]&lt;&gt;"", Table1[[#This Row],[India Holiday]]&lt;&gt;""), "Yes", "No")</f>
        <v>No</v>
      </c>
      <c r="I892" s="2">
        <f>IF(
  AND(
    WORKDAY(E892-1,1)=E892,
    _xlfn.CONCAT(F892:G892)=""
  ),
  _xlfn.MAXIFS(I$2:I891,C$2:C891,C892,B$2:B891,B892)+1,
  ""
)</f>
        <v>6</v>
      </c>
    </row>
    <row r="893" spans="2:9" x14ac:dyDescent="0.25">
      <c r="B893" s="2">
        <f t="shared" si="47"/>
        <v>2027</v>
      </c>
      <c r="C893" s="2" t="str">
        <f t="shared" si="48"/>
        <v>December</v>
      </c>
      <c r="D893" s="2" t="str">
        <f t="shared" si="42"/>
        <v>Thursday</v>
      </c>
      <c r="E893" s="4">
        <v>46730</v>
      </c>
      <c r="H893" s="3" t="str">
        <f>IF(OR(Table1[[#This Row],[US Holiday]]&lt;&gt;"", Table1[[#This Row],[India Holiday]]&lt;&gt;""), "Yes", "No")</f>
        <v>No</v>
      </c>
      <c r="I893" s="2">
        <f>IF(
  AND(
    WORKDAY(E893-1,1)=E893,
    _xlfn.CONCAT(F893:G893)=""
  ),
  _xlfn.MAXIFS(I$2:I892,C$2:C892,C893,B$2:B892,B893)+1,
  ""
)</f>
        <v>7</v>
      </c>
    </row>
    <row r="894" spans="2:9" x14ac:dyDescent="0.25">
      <c r="B894" s="2">
        <f t="shared" si="47"/>
        <v>2027</v>
      </c>
      <c r="C894" s="2" t="str">
        <f t="shared" si="48"/>
        <v>December</v>
      </c>
      <c r="D894" s="2" t="str">
        <f t="shared" si="42"/>
        <v>Friday</v>
      </c>
      <c r="E894" s="4">
        <v>46731</v>
      </c>
      <c r="H894" s="3" t="str">
        <f>IF(OR(Table1[[#This Row],[US Holiday]]&lt;&gt;"", Table1[[#This Row],[India Holiday]]&lt;&gt;""), "Yes", "No")</f>
        <v>No</v>
      </c>
      <c r="I894" s="2">
        <f>IF(
  AND(
    WORKDAY(E894-1,1)=E894,
    _xlfn.CONCAT(F894:G894)=""
  ),
  _xlfn.MAXIFS(I$2:I893,C$2:C893,C894,B$2:B893,B894)+1,
  ""
)</f>
        <v>8</v>
      </c>
    </row>
    <row r="895" spans="2:9" x14ac:dyDescent="0.25">
      <c r="B895" s="2">
        <f t="shared" si="47"/>
        <v>2027</v>
      </c>
      <c r="C895" s="2" t="str">
        <f t="shared" si="48"/>
        <v>December</v>
      </c>
      <c r="D895" s="2" t="str">
        <f t="shared" si="42"/>
        <v>Saturday</v>
      </c>
      <c r="E895" s="4">
        <v>46732</v>
      </c>
      <c r="H895" s="3" t="str">
        <f>IF(OR(Table1[[#This Row],[US Holiday]]&lt;&gt;"", Table1[[#This Row],[India Holiday]]&lt;&gt;""), "Yes", "No")</f>
        <v>No</v>
      </c>
      <c r="I895" s="2" t="str">
        <f>IF(
  AND(
    WORKDAY(E895-1,1)=E895,
    _xlfn.CONCAT(F895:G895)=""
  ),
  _xlfn.MAXIFS(I$2:I894,C$2:C894,C895,B$2:B894,B895)+1,
  ""
)</f>
        <v/>
      </c>
    </row>
    <row r="896" spans="2:9" x14ac:dyDescent="0.25">
      <c r="B896" s="2">
        <f t="shared" si="47"/>
        <v>2027</v>
      </c>
      <c r="C896" s="2" t="str">
        <f t="shared" si="48"/>
        <v>December</v>
      </c>
      <c r="D896" s="2" t="str">
        <f t="shared" si="42"/>
        <v>Sunday</v>
      </c>
      <c r="E896" s="4">
        <v>46733</v>
      </c>
      <c r="H896" s="3" t="str">
        <f>IF(OR(Table1[[#This Row],[US Holiday]]&lt;&gt;"", Table1[[#This Row],[India Holiday]]&lt;&gt;""), "Yes", "No")</f>
        <v>No</v>
      </c>
      <c r="I896" s="2" t="str">
        <f>IF(
  AND(
    WORKDAY(E896-1,1)=E896,
    _xlfn.CONCAT(F896:G896)=""
  ),
  _xlfn.MAXIFS(I$2:I895,C$2:C895,C896,B$2:B895,B896)+1,
  ""
)</f>
        <v/>
      </c>
    </row>
    <row r="897" spans="2:9" x14ac:dyDescent="0.25">
      <c r="B897" s="2">
        <f t="shared" si="47"/>
        <v>2027</v>
      </c>
      <c r="C897" s="2" t="str">
        <f t="shared" si="48"/>
        <v>December</v>
      </c>
      <c r="D897" s="2" t="str">
        <f t="shared" si="42"/>
        <v>Monday</v>
      </c>
      <c r="E897" s="4">
        <v>46734</v>
      </c>
      <c r="H897" s="3" t="str">
        <f>IF(OR(Table1[[#This Row],[US Holiday]]&lt;&gt;"", Table1[[#This Row],[India Holiday]]&lt;&gt;""), "Yes", "No")</f>
        <v>No</v>
      </c>
      <c r="I897" s="2">
        <f>IF(
  AND(
    WORKDAY(E897-1,1)=E897,
    _xlfn.CONCAT(F897:G897)=""
  ),
  _xlfn.MAXIFS(I$2:I896,C$2:C896,C897,B$2:B896,B897)+1,
  ""
)</f>
        <v>9</v>
      </c>
    </row>
    <row r="898" spans="2:9" x14ac:dyDescent="0.25">
      <c r="B898" s="2">
        <f t="shared" ref="B898:B915" si="49">YEAR(E898)</f>
        <v>2027</v>
      </c>
      <c r="C898" s="2" t="str">
        <f t="shared" ref="C898:C915" si="50">TEXT(E898,"mmmm")</f>
        <v>December</v>
      </c>
      <c r="D898" s="2" t="str">
        <f t="shared" si="42"/>
        <v>Tuesday</v>
      </c>
      <c r="E898" s="4">
        <v>46735</v>
      </c>
      <c r="H898" s="3" t="str">
        <f>IF(OR(Table1[[#This Row],[US Holiday]]&lt;&gt;"", Table1[[#This Row],[India Holiday]]&lt;&gt;""), "Yes", "No")</f>
        <v>No</v>
      </c>
      <c r="I898" s="2">
        <f>IF(
  AND(
    WORKDAY(E898-1,1)=E898,
    _xlfn.CONCAT(F898:G898)=""
  ),
  _xlfn.MAXIFS(I$2:I897,C$2:C897,C898,B$2:B897,B898)+1,
  ""
)</f>
        <v>10</v>
      </c>
    </row>
    <row r="899" spans="2:9" x14ac:dyDescent="0.25">
      <c r="B899" s="2">
        <f t="shared" si="49"/>
        <v>2027</v>
      </c>
      <c r="C899" s="2" t="str">
        <f t="shared" si="50"/>
        <v>December</v>
      </c>
      <c r="D899" s="2" t="str">
        <f t="shared" ref="D899:D915" si="51">TEXT(E899,"dddd")</f>
        <v>Wednesday</v>
      </c>
      <c r="E899" s="4">
        <v>46736</v>
      </c>
      <c r="H899" s="3" t="str">
        <f>IF(OR(Table1[[#This Row],[US Holiday]]&lt;&gt;"", Table1[[#This Row],[India Holiday]]&lt;&gt;""), "Yes", "No")</f>
        <v>No</v>
      </c>
      <c r="I899" s="2">
        <f>IF(
  AND(
    WORKDAY(E899-1,1)=E899,
    _xlfn.CONCAT(F899:G899)=""
  ),
  _xlfn.MAXIFS(I$2:I898,C$2:C898,C899,B$2:B898,B899)+1,
  ""
)</f>
        <v>11</v>
      </c>
    </row>
    <row r="900" spans="2:9" x14ac:dyDescent="0.25">
      <c r="B900" s="2">
        <f t="shared" si="49"/>
        <v>2027</v>
      </c>
      <c r="C900" s="2" t="str">
        <f t="shared" si="50"/>
        <v>December</v>
      </c>
      <c r="D900" s="2" t="str">
        <f t="shared" si="51"/>
        <v>Thursday</v>
      </c>
      <c r="E900" s="4">
        <v>46737</v>
      </c>
      <c r="H900" s="3" t="str">
        <f>IF(OR(Table1[[#This Row],[US Holiday]]&lt;&gt;"", Table1[[#This Row],[India Holiday]]&lt;&gt;""), "Yes", "No")</f>
        <v>No</v>
      </c>
      <c r="I900" s="2">
        <f>IF(
  AND(
    WORKDAY(E900-1,1)=E900,
    _xlfn.CONCAT(F900:G900)=""
  ),
  _xlfn.MAXIFS(I$2:I899,C$2:C899,C900,B$2:B899,B900)+1,
  ""
)</f>
        <v>12</v>
      </c>
    </row>
    <row r="901" spans="2:9" x14ac:dyDescent="0.25">
      <c r="B901" s="2">
        <f t="shared" si="49"/>
        <v>2027</v>
      </c>
      <c r="C901" s="2" t="str">
        <f t="shared" si="50"/>
        <v>December</v>
      </c>
      <c r="D901" s="2" t="str">
        <f t="shared" si="51"/>
        <v>Friday</v>
      </c>
      <c r="E901" s="4">
        <v>46738</v>
      </c>
      <c r="H901" s="3" t="str">
        <f>IF(OR(Table1[[#This Row],[US Holiday]]&lt;&gt;"", Table1[[#This Row],[India Holiday]]&lt;&gt;""), "Yes", "No")</f>
        <v>No</v>
      </c>
      <c r="I901" s="2">
        <f>IF(
  AND(
    WORKDAY(E901-1,1)=E901,
    _xlfn.CONCAT(F901:G901)=""
  ),
  _xlfn.MAXIFS(I$2:I900,C$2:C900,C901,B$2:B900,B901)+1,
  ""
)</f>
        <v>13</v>
      </c>
    </row>
    <row r="902" spans="2:9" x14ac:dyDescent="0.25">
      <c r="B902" s="2">
        <f t="shared" si="49"/>
        <v>2027</v>
      </c>
      <c r="C902" s="2" t="str">
        <f t="shared" si="50"/>
        <v>December</v>
      </c>
      <c r="D902" s="2" t="str">
        <f t="shared" si="51"/>
        <v>Saturday</v>
      </c>
      <c r="E902" s="4">
        <v>46739</v>
      </c>
      <c r="H902" s="3" t="str">
        <f>IF(OR(Table1[[#This Row],[US Holiday]]&lt;&gt;"", Table1[[#This Row],[India Holiday]]&lt;&gt;""), "Yes", "No")</f>
        <v>No</v>
      </c>
      <c r="I902" s="2" t="str">
        <f>IF(
  AND(
    WORKDAY(E902-1,1)=E902,
    _xlfn.CONCAT(F902:G902)=""
  ),
  _xlfn.MAXIFS(I$2:I901,C$2:C901,C902,B$2:B901,B902)+1,
  ""
)</f>
        <v/>
      </c>
    </row>
    <row r="903" spans="2:9" x14ac:dyDescent="0.25">
      <c r="B903" s="2">
        <f t="shared" si="49"/>
        <v>2027</v>
      </c>
      <c r="C903" s="2" t="str">
        <f t="shared" si="50"/>
        <v>December</v>
      </c>
      <c r="D903" s="2" t="str">
        <f t="shared" si="51"/>
        <v>Sunday</v>
      </c>
      <c r="E903" s="4">
        <v>46740</v>
      </c>
      <c r="H903" s="3" t="str">
        <f>IF(OR(Table1[[#This Row],[US Holiday]]&lt;&gt;"", Table1[[#This Row],[India Holiday]]&lt;&gt;""), "Yes", "No")</f>
        <v>No</v>
      </c>
      <c r="I903" s="2" t="str">
        <f>IF(
  AND(
    WORKDAY(E903-1,1)=E903,
    _xlfn.CONCAT(F903:G903)=""
  ),
  _xlfn.MAXIFS(I$2:I902,C$2:C902,C903,B$2:B902,B903)+1,
  ""
)</f>
        <v/>
      </c>
    </row>
    <row r="904" spans="2:9" x14ac:dyDescent="0.25">
      <c r="B904" s="2">
        <f t="shared" si="49"/>
        <v>2027</v>
      </c>
      <c r="C904" s="2" t="str">
        <f t="shared" si="50"/>
        <v>December</v>
      </c>
      <c r="D904" s="2" t="str">
        <f t="shared" si="51"/>
        <v>Monday</v>
      </c>
      <c r="E904" s="4">
        <v>46741</v>
      </c>
      <c r="H904" s="3" t="str">
        <f>IF(OR(Table1[[#This Row],[US Holiday]]&lt;&gt;"", Table1[[#This Row],[India Holiday]]&lt;&gt;""), "Yes", "No")</f>
        <v>No</v>
      </c>
      <c r="I904" s="2">
        <f>IF(
  AND(
    WORKDAY(E904-1,1)=E904,
    _xlfn.CONCAT(F904:G904)=""
  ),
  _xlfn.MAXIFS(I$2:I903,C$2:C903,C904,B$2:B903,B904)+1,
  ""
)</f>
        <v>14</v>
      </c>
    </row>
    <row r="905" spans="2:9" x14ac:dyDescent="0.25">
      <c r="B905" s="2">
        <f t="shared" si="49"/>
        <v>2027</v>
      </c>
      <c r="C905" s="2" t="str">
        <f t="shared" si="50"/>
        <v>December</v>
      </c>
      <c r="D905" s="2" t="str">
        <f t="shared" si="51"/>
        <v>Tuesday</v>
      </c>
      <c r="E905" s="4">
        <v>46742</v>
      </c>
      <c r="H905" s="3" t="str">
        <f>IF(OR(Table1[[#This Row],[US Holiday]]&lt;&gt;"", Table1[[#This Row],[India Holiday]]&lt;&gt;""), "Yes", "No")</f>
        <v>No</v>
      </c>
      <c r="I905" s="2">
        <f>IF(
  AND(
    WORKDAY(E905-1,1)=E905,
    _xlfn.CONCAT(F905:G905)=""
  ),
  _xlfn.MAXIFS(I$2:I904,C$2:C904,C905,B$2:B904,B905)+1,
  ""
)</f>
        <v>15</v>
      </c>
    </row>
    <row r="906" spans="2:9" x14ac:dyDescent="0.25">
      <c r="B906" s="2">
        <f t="shared" si="49"/>
        <v>2027</v>
      </c>
      <c r="C906" s="2" t="str">
        <f t="shared" si="50"/>
        <v>December</v>
      </c>
      <c r="D906" s="2" t="str">
        <f t="shared" si="51"/>
        <v>Wednesday</v>
      </c>
      <c r="E906" s="4">
        <v>46743</v>
      </c>
      <c r="H906" s="3" t="str">
        <f>IF(OR(Table1[[#This Row],[US Holiday]]&lt;&gt;"", Table1[[#This Row],[India Holiday]]&lt;&gt;""), "Yes", "No")</f>
        <v>No</v>
      </c>
      <c r="I906" s="2">
        <f>IF(
  AND(
    WORKDAY(E906-1,1)=E906,
    _xlfn.CONCAT(F906:G906)=""
  ),
  _xlfn.MAXIFS(I$2:I905,C$2:C905,C906,B$2:B905,B906)+1,
  ""
)</f>
        <v>16</v>
      </c>
    </row>
    <row r="907" spans="2:9" x14ac:dyDescent="0.25">
      <c r="B907" s="2">
        <f t="shared" si="49"/>
        <v>2027</v>
      </c>
      <c r="C907" s="2" t="str">
        <f t="shared" si="50"/>
        <v>December</v>
      </c>
      <c r="D907" s="2" t="str">
        <f t="shared" si="51"/>
        <v>Thursday</v>
      </c>
      <c r="E907" s="4">
        <v>46744</v>
      </c>
      <c r="H907" s="3" t="str">
        <f>IF(OR(Table1[[#This Row],[US Holiday]]&lt;&gt;"", Table1[[#This Row],[India Holiday]]&lt;&gt;""), "Yes", "No")</f>
        <v>No</v>
      </c>
      <c r="I907" s="2">
        <f>IF(
  AND(
    WORKDAY(E907-1,1)=E907,
    _xlfn.CONCAT(F907:G907)=""
  ),
  _xlfn.MAXIFS(I$2:I906,C$2:C906,C907,B$2:B906,B907)+1,
  ""
)</f>
        <v>17</v>
      </c>
    </row>
    <row r="908" spans="2:9" x14ac:dyDescent="0.25">
      <c r="B908" s="2">
        <f t="shared" si="49"/>
        <v>2027</v>
      </c>
      <c r="C908" s="2" t="str">
        <f t="shared" si="50"/>
        <v>December</v>
      </c>
      <c r="D908" s="2" t="str">
        <f t="shared" si="51"/>
        <v>Friday</v>
      </c>
      <c r="E908" s="4">
        <v>46745</v>
      </c>
      <c r="H908" s="3" t="str">
        <f>IF(OR(Table1[[#This Row],[US Holiday]]&lt;&gt;"", Table1[[#This Row],[India Holiday]]&lt;&gt;""), "Yes", "No")</f>
        <v>No</v>
      </c>
      <c r="I908" s="2">
        <f>IF(
  AND(
    WORKDAY(E908-1,1)=E908,
    _xlfn.CONCAT(F908:G908)=""
  ),
  _xlfn.MAXIFS(I$2:I907,C$2:C907,C908,B$2:B907,B908)+1,
  ""
)</f>
        <v>18</v>
      </c>
    </row>
    <row r="909" spans="2:9" x14ac:dyDescent="0.25">
      <c r="B909" s="2">
        <f t="shared" si="49"/>
        <v>2027</v>
      </c>
      <c r="C909" s="2" t="str">
        <f t="shared" si="50"/>
        <v>December</v>
      </c>
      <c r="D909" s="2" t="str">
        <f t="shared" si="51"/>
        <v>Saturday</v>
      </c>
      <c r="E909" s="4">
        <v>46746</v>
      </c>
      <c r="F909" s="65" t="s">
        <v>124</v>
      </c>
      <c r="G909" s="65"/>
      <c r="H909" s="65" t="str">
        <f>IF(OR(Table1[[#This Row],[US Holiday]]&lt;&gt;"", Table1[[#This Row],[India Holiday]]&lt;&gt;""), "Yes", "No")</f>
        <v>Yes</v>
      </c>
      <c r="I909" s="2" t="str">
        <f>IF(
  AND(
    WORKDAY(E909-1,1)=E909,
    _xlfn.CONCAT(F909:G909)=""
  ),
  _xlfn.MAXIFS(I$2:I908,C$2:C908,C909,B$2:B908,B909)+1,
  ""
)</f>
        <v/>
      </c>
    </row>
    <row r="910" spans="2:9" x14ac:dyDescent="0.25">
      <c r="B910" s="2">
        <f t="shared" si="49"/>
        <v>2027</v>
      </c>
      <c r="C910" s="2" t="str">
        <f t="shared" si="50"/>
        <v>December</v>
      </c>
      <c r="D910" s="2" t="str">
        <f t="shared" si="51"/>
        <v>Sunday</v>
      </c>
      <c r="E910" s="4">
        <v>46747</v>
      </c>
      <c r="H910" s="3" t="str">
        <f>IF(OR(Table1[[#This Row],[US Holiday]]&lt;&gt;"", Table1[[#This Row],[India Holiday]]&lt;&gt;""), "Yes", "No")</f>
        <v>No</v>
      </c>
      <c r="I910" s="2" t="str">
        <f>IF(
  AND(
    WORKDAY(E910-1,1)=E910,
    _xlfn.CONCAT(F910:G910)=""
  ),
  _xlfn.MAXIFS(I$2:I909,C$2:C909,C910,B$2:B909,B910)+1,
  ""
)</f>
        <v/>
      </c>
    </row>
    <row r="911" spans="2:9" x14ac:dyDescent="0.25">
      <c r="B911" s="2">
        <f t="shared" si="49"/>
        <v>2027</v>
      </c>
      <c r="C911" s="2" t="str">
        <f t="shared" si="50"/>
        <v>December</v>
      </c>
      <c r="D911" s="2" t="str">
        <f t="shared" si="51"/>
        <v>Monday</v>
      </c>
      <c r="E911" s="4">
        <v>46748</v>
      </c>
      <c r="H911" s="3" t="str">
        <f>IF(OR(Table1[[#This Row],[US Holiday]]&lt;&gt;"", Table1[[#This Row],[India Holiday]]&lt;&gt;""), "Yes", "No")</f>
        <v>No</v>
      </c>
      <c r="I911" s="2">
        <f>IF(
  AND(
    WORKDAY(E911-1,1)=E911,
    _xlfn.CONCAT(F911:G911)=""
  ),
  _xlfn.MAXIFS(I$2:I910,C$2:C910,C911,B$2:B910,B911)+1,
  ""
)</f>
        <v>19</v>
      </c>
    </row>
    <row r="912" spans="2:9" x14ac:dyDescent="0.25">
      <c r="B912" s="2">
        <f t="shared" si="49"/>
        <v>2027</v>
      </c>
      <c r="C912" s="2" t="str">
        <f t="shared" si="50"/>
        <v>December</v>
      </c>
      <c r="D912" s="2" t="str">
        <f t="shared" si="51"/>
        <v>Tuesday</v>
      </c>
      <c r="E912" s="4">
        <v>46749</v>
      </c>
      <c r="H912" s="3" t="str">
        <f>IF(OR(Table1[[#This Row],[US Holiday]]&lt;&gt;"", Table1[[#This Row],[India Holiday]]&lt;&gt;""), "Yes", "No")</f>
        <v>No</v>
      </c>
      <c r="I912" s="2">
        <f>IF(
  AND(
    WORKDAY(E912-1,1)=E912,
    _xlfn.CONCAT(F912:G912)=""
  ),
  _xlfn.MAXIFS(I$2:I911,C$2:C911,C912,B$2:B911,B912)+1,
  ""
)</f>
        <v>20</v>
      </c>
    </row>
    <row r="913" spans="2:9" x14ac:dyDescent="0.25">
      <c r="B913" s="2">
        <f t="shared" si="49"/>
        <v>2027</v>
      </c>
      <c r="C913" s="2" t="str">
        <f t="shared" si="50"/>
        <v>December</v>
      </c>
      <c r="D913" s="2" t="str">
        <f t="shared" si="51"/>
        <v>Wednesday</v>
      </c>
      <c r="E913" s="4">
        <v>46750</v>
      </c>
      <c r="H913" s="3" t="str">
        <f>IF(OR(Table1[[#This Row],[US Holiday]]&lt;&gt;"", Table1[[#This Row],[India Holiday]]&lt;&gt;""), "Yes", "No")</f>
        <v>No</v>
      </c>
      <c r="I913" s="2">
        <f>IF(
  AND(
    WORKDAY(E913-1,1)=E913,
    _xlfn.CONCAT(F913:G913)=""
  ),
  _xlfn.MAXIFS(I$2:I912,C$2:C912,C913,B$2:B912,B913)+1,
  ""
)</f>
        <v>21</v>
      </c>
    </row>
    <row r="914" spans="2:9" x14ac:dyDescent="0.25">
      <c r="B914" s="2">
        <f t="shared" si="49"/>
        <v>2027</v>
      </c>
      <c r="C914" s="2" t="str">
        <f t="shared" si="50"/>
        <v>December</v>
      </c>
      <c r="D914" s="2" t="str">
        <f t="shared" si="51"/>
        <v>Thursday</v>
      </c>
      <c r="E914" s="4">
        <v>46751</v>
      </c>
      <c r="H914" s="3" t="str">
        <f>IF(OR(Table1[[#This Row],[US Holiday]]&lt;&gt;"", Table1[[#This Row],[India Holiday]]&lt;&gt;""), "Yes", "No")</f>
        <v>No</v>
      </c>
      <c r="I914" s="2">
        <f>IF(
  AND(
    WORKDAY(E914-1,1)=E914,
    _xlfn.CONCAT(F914:G914)=""
  ),
  _xlfn.MAXIFS(I$2:I913,C$2:C913,C914,B$2:B913,B914)+1,
  ""
)</f>
        <v>22</v>
      </c>
    </row>
    <row r="915" spans="2:9" x14ac:dyDescent="0.25">
      <c r="B915" s="2">
        <f t="shared" si="49"/>
        <v>2027</v>
      </c>
      <c r="C915" s="2" t="str">
        <f t="shared" si="50"/>
        <v>December</v>
      </c>
      <c r="D915" s="2" t="str">
        <f t="shared" si="51"/>
        <v>Friday</v>
      </c>
      <c r="E915" s="4">
        <v>46752</v>
      </c>
      <c r="H915" s="3" t="str">
        <f>IF(OR(Table1[[#This Row],[US Holiday]]&lt;&gt;"", Table1[[#This Row],[India Holiday]]&lt;&gt;""), "Yes", "No")</f>
        <v>No</v>
      </c>
      <c r="I915" s="2">
        <f>IF(
  AND(
    WORKDAY(E915-1,1)=E915,
    _xlfn.CONCAT(F915:G915)=""
  ),
  _xlfn.MAXIFS(I$2:I914,C$2:C914,C915,B$2:B914,B915)+1,
  ""
)</f>
        <v>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86198-7B8C-4ABE-99E6-3F82E6B22066}">
  <dimension ref="A2:M14"/>
  <sheetViews>
    <sheetView workbookViewId="0">
      <pane ySplit="2" topLeftCell="A3" activePane="bottomLeft" state="frozen"/>
      <selection pane="bottomLeft" activeCell="M11" sqref="M11"/>
    </sheetView>
  </sheetViews>
  <sheetFormatPr defaultColWidth="8.7109375" defaultRowHeight="13.5" x14ac:dyDescent="0.25"/>
  <cols>
    <col min="1" max="1" width="8.28515625" style="2" bestFit="1" customWidth="1"/>
    <col min="2" max="2" width="4.140625" style="2" customWidth="1"/>
    <col min="3" max="3" width="11.7109375" style="2" bestFit="1" customWidth="1"/>
    <col min="4" max="4" width="3.7109375" style="2" customWidth="1"/>
    <col min="5" max="5" width="16.28515625" style="2" bestFit="1" customWidth="1"/>
    <col min="6" max="6" width="2.5703125" style="2" customWidth="1"/>
    <col min="7" max="7" width="25.28515625" style="2" bestFit="1" customWidth="1"/>
    <col min="8" max="8" width="3.28515625" style="2" customWidth="1"/>
    <col min="9" max="9" width="5.42578125" style="2" bestFit="1" customWidth="1"/>
    <col min="10" max="10" width="2.28515625" style="2" customWidth="1"/>
    <col min="11" max="11" width="9.5703125" style="2" bestFit="1" customWidth="1"/>
    <col min="12" max="12" width="2.7109375" style="2" customWidth="1"/>
    <col min="13" max="13" width="16.28515625" style="2" bestFit="1" customWidth="1"/>
    <col min="14" max="16384" width="8.7109375" style="2"/>
  </cols>
  <sheetData>
    <row r="2" spans="1:13" ht="15.75" x14ac:dyDescent="0.25">
      <c r="A2" s="57" t="s">
        <v>66</v>
      </c>
      <c r="B2" s="57"/>
      <c r="C2" s="57" t="s">
        <v>67</v>
      </c>
      <c r="D2" s="57"/>
      <c r="E2" s="57" t="s">
        <v>68</v>
      </c>
      <c r="F2" s="57"/>
      <c r="G2" s="57" t="s">
        <v>76</v>
      </c>
      <c r="H2" s="57"/>
      <c r="I2" s="57" t="s">
        <v>88</v>
      </c>
      <c r="K2" s="57" t="s">
        <v>82</v>
      </c>
      <c r="M2" s="57" t="s">
        <v>95</v>
      </c>
    </row>
    <row r="3" spans="1:13" x14ac:dyDescent="0.25">
      <c r="A3" s="59" t="s">
        <v>69</v>
      </c>
      <c r="B3" s="59"/>
      <c r="C3" s="59" t="s">
        <v>120</v>
      </c>
      <c r="D3" s="58"/>
      <c r="E3" s="59" t="s">
        <v>62</v>
      </c>
      <c r="F3" s="59"/>
      <c r="G3" s="59" t="s">
        <v>119</v>
      </c>
      <c r="H3" s="59"/>
      <c r="I3" s="2">
        <v>2025</v>
      </c>
      <c r="K3" s="56" t="s">
        <v>98</v>
      </c>
      <c r="M3" s="2" t="s">
        <v>94</v>
      </c>
    </row>
    <row r="4" spans="1:13" x14ac:dyDescent="0.25">
      <c r="A4" s="59" t="s">
        <v>121</v>
      </c>
      <c r="B4" s="59"/>
      <c r="C4" s="59" t="s">
        <v>70</v>
      </c>
      <c r="D4" s="58"/>
      <c r="E4" s="59" t="s">
        <v>63</v>
      </c>
      <c r="F4" s="59"/>
      <c r="G4" s="59" t="s">
        <v>80</v>
      </c>
      <c r="H4" s="59"/>
      <c r="I4" s="2">
        <v>2026</v>
      </c>
      <c r="K4" s="56" t="s">
        <v>99</v>
      </c>
      <c r="M4" s="2" t="s">
        <v>144</v>
      </c>
    </row>
    <row r="5" spans="1:13" x14ac:dyDescent="0.25">
      <c r="A5" s="59" t="s">
        <v>122</v>
      </c>
      <c r="B5" s="59"/>
      <c r="E5" s="59" t="s">
        <v>78</v>
      </c>
      <c r="F5" s="59"/>
      <c r="G5" s="59" t="s">
        <v>56</v>
      </c>
      <c r="H5" s="59"/>
      <c r="I5" s="2">
        <v>2027</v>
      </c>
      <c r="K5" s="56" t="s">
        <v>100</v>
      </c>
      <c r="M5" s="2" t="s">
        <v>145</v>
      </c>
    </row>
    <row r="6" spans="1:13" x14ac:dyDescent="0.25">
      <c r="C6" s="60"/>
      <c r="D6" s="60"/>
      <c r="E6" s="59" t="s">
        <v>64</v>
      </c>
      <c r="F6" s="59"/>
      <c r="G6" s="59" t="s">
        <v>57</v>
      </c>
      <c r="H6" s="59"/>
      <c r="K6" s="56" t="s">
        <v>101</v>
      </c>
      <c r="M6" s="2" t="s">
        <v>179</v>
      </c>
    </row>
    <row r="7" spans="1:13" x14ac:dyDescent="0.25">
      <c r="C7" s="60"/>
      <c r="D7" s="60"/>
      <c r="E7" s="60"/>
      <c r="F7" s="60"/>
      <c r="G7" s="59" t="s">
        <v>58</v>
      </c>
      <c r="H7" s="59"/>
      <c r="K7" s="56" t="s">
        <v>102</v>
      </c>
      <c r="M7" s="2" t="s">
        <v>178</v>
      </c>
    </row>
    <row r="8" spans="1:13" x14ac:dyDescent="0.25">
      <c r="C8" s="60"/>
      <c r="D8" s="60"/>
      <c r="E8" s="60"/>
      <c r="F8" s="60"/>
      <c r="G8" s="59" t="s">
        <v>2</v>
      </c>
      <c r="H8" s="59"/>
      <c r="K8" s="56" t="s">
        <v>103</v>
      </c>
      <c r="M8" s="2" t="s">
        <v>180</v>
      </c>
    </row>
    <row r="9" spans="1:13" x14ac:dyDescent="0.25">
      <c r="C9" s="60"/>
      <c r="D9" s="60"/>
      <c r="E9" s="60"/>
      <c r="F9" s="60"/>
      <c r="G9" s="59" t="s">
        <v>59</v>
      </c>
      <c r="H9" s="59"/>
      <c r="K9" s="56" t="s">
        <v>72</v>
      </c>
      <c r="M9" s="2" t="s">
        <v>149</v>
      </c>
    </row>
    <row r="10" spans="1:13" x14ac:dyDescent="0.25">
      <c r="C10" s="60"/>
      <c r="D10" s="60"/>
      <c r="E10" s="60"/>
      <c r="F10" s="60"/>
      <c r="G10" s="59" t="s">
        <v>60</v>
      </c>
      <c r="H10" s="59"/>
      <c r="K10" s="56" t="s">
        <v>84</v>
      </c>
      <c r="M10" s="2" t="s">
        <v>181</v>
      </c>
    </row>
    <row r="11" spans="1:13" x14ac:dyDescent="0.25">
      <c r="C11" s="60"/>
      <c r="D11" s="60"/>
      <c r="E11" s="60"/>
      <c r="F11" s="60"/>
      <c r="G11" s="59" t="s">
        <v>61</v>
      </c>
      <c r="H11" s="59"/>
      <c r="K11" s="56" t="s">
        <v>85</v>
      </c>
      <c r="M11" s="2" t="s">
        <v>175</v>
      </c>
    </row>
    <row r="12" spans="1:13" x14ac:dyDescent="0.25">
      <c r="C12" s="60"/>
      <c r="D12" s="60"/>
      <c r="E12" s="60"/>
      <c r="F12" s="60"/>
      <c r="K12" s="56" t="s">
        <v>83</v>
      </c>
      <c r="M12" s="2" t="s">
        <v>176</v>
      </c>
    </row>
    <row r="13" spans="1:13" x14ac:dyDescent="0.25">
      <c r="K13" s="56" t="s">
        <v>86</v>
      </c>
      <c r="M13" s="2" t="s">
        <v>177</v>
      </c>
    </row>
    <row r="14" spans="1:13" x14ac:dyDescent="0.25">
      <c r="K14" s="56" t="s">
        <v>87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Calendar</vt:lpstr>
      <vt:lpstr>Commitments &amp; Ownership Matrix</vt:lpstr>
      <vt:lpstr>Detailed Tasks</vt:lpstr>
      <vt:lpstr>Schedules&gt;&gt;</vt:lpstr>
      <vt:lpstr>Date master</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Silvana Bernhardt</dc:creator>
  <cp:lastModifiedBy>Silvana Bernhardt</cp:lastModifiedBy>
  <cp:lastPrinted>2025-06-30T16:08:12Z</cp:lastPrinted>
  <dcterms:created xsi:type="dcterms:W3CDTF">2025-06-27T22:47:54Z</dcterms:created>
  <dcterms:modified xsi:type="dcterms:W3CDTF">2026-03-15T02:56:22Z</dcterms:modified>
</cp:coreProperties>
</file>