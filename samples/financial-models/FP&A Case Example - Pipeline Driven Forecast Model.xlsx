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SB\SB PF\Portfolio\"/>
    </mc:Choice>
  </mc:AlternateContent>
  <xr:revisionPtr revIDLastSave="0" documentId="13_ncr:1_{C9927122-2977-46AD-BCFA-F9E1F4BBFE8E}" xr6:coauthVersionLast="47" xr6:coauthVersionMax="47" xr10:uidLastSave="{00000000-0000-0000-0000-000000000000}"/>
  <bookViews>
    <workbookView xWindow="-120" yWindow="-120" windowWidth="38640" windowHeight="21120" tabRatio="749" xr2:uid="{D04153C0-AFC2-4562-86BE-5578DDEEB72D}"/>
  </bookViews>
  <sheets>
    <sheet name="Index" sheetId="12" r:id="rId1"/>
    <sheet name="Forecast Assumptions" sheetId="6" r:id="rId2"/>
    <sheet name="Forecast Sep-Nov 2025" sheetId="2" r:id="rId3"/>
    <sheet name="Dashboard" sheetId="9" r:id="rId4"/>
    <sheet name="Metrics &amp; Statistics" sheetId="5" r:id="rId5"/>
    <sheet name="Plan " sheetId="11" r:id="rId6"/>
    <sheet name="Data" sheetId="1" r:id="rId7"/>
    <sheet name="Assignment Approach" sheetId="13" r:id="rId8"/>
  </sheets>
  <definedNames>
    <definedName name="_xlnm._FilterDatabase" localSheetId="6" hidden="1">Data!$A$1:$R$50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9" i="5" l="1"/>
  <c r="D25" i="5"/>
  <c r="L9" i="2"/>
  <c r="C15" i="5"/>
  <c r="C14" i="5"/>
  <c r="C13" i="5"/>
  <c r="C12" i="5"/>
  <c r="C11" i="5"/>
  <c r="B12" i="5"/>
  <c r="B13" i="5"/>
  <c r="B14" i="5"/>
  <c r="B15" i="5"/>
  <c r="B11" i="5"/>
  <c r="F11" i="9" a="1"/>
  <c r="F11" i="9" s="1"/>
  <c r="H17" i="2"/>
  <c r="G17" i="2"/>
  <c r="B8" i="5" l="1"/>
  <c r="F35" i="2"/>
  <c r="F39" i="2" s="1"/>
  <c r="H32" i="2"/>
  <c r="G32" i="2"/>
  <c r="S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L38" i="1"/>
  <c r="L49" i="1"/>
  <c r="L26" i="1"/>
  <c r="L47" i="1"/>
  <c r="L39" i="1"/>
  <c r="L34" i="1"/>
  <c r="L46" i="1"/>
  <c r="L43" i="1"/>
  <c r="L42" i="1"/>
  <c r="L44" i="1"/>
  <c r="L40" i="1"/>
  <c r="L12" i="1"/>
  <c r="L15" i="1"/>
  <c r="L37" i="1"/>
  <c r="L21" i="1"/>
  <c r="L35" i="1"/>
  <c r="L28" i="1"/>
  <c r="L33" i="1"/>
  <c r="L32" i="1"/>
  <c r="L25" i="1"/>
  <c r="L30" i="1"/>
  <c r="L45" i="1"/>
  <c r="L31" i="1"/>
  <c r="L27" i="1"/>
  <c r="L41" i="1"/>
  <c r="L36" i="1"/>
  <c r="L24" i="1"/>
  <c r="L48" i="1"/>
  <c r="L8" i="1"/>
  <c r="L13" i="1"/>
  <c r="L20" i="1"/>
  <c r="L10" i="1"/>
  <c r="L18" i="1"/>
  <c r="L19" i="1"/>
  <c r="L17" i="1"/>
  <c r="L16" i="1"/>
  <c r="L14" i="1"/>
  <c r="L29" i="1"/>
  <c r="L23" i="1"/>
  <c r="L11" i="1"/>
  <c r="L22" i="1"/>
  <c r="L9" i="1"/>
  <c r="L50" i="1"/>
  <c r="L7" i="1"/>
  <c r="L4" i="1"/>
  <c r="L5" i="1"/>
  <c r="L6" i="1"/>
  <c r="L3" i="1"/>
  <c r="L2" i="1"/>
  <c r="E27" i="2"/>
  <c r="C27" i="2" s="1"/>
  <c r="A69" i="5" a="1"/>
  <c r="A69" i="5" s="1"/>
  <c r="A60" i="5" a="1"/>
  <c r="A60" i="5" s="1"/>
  <c r="A52" i="5" a="1"/>
  <c r="A52" i="5" s="1"/>
  <c r="A34" i="5" a="1"/>
  <c r="A34" i="5" s="1"/>
  <c r="B5" i="5"/>
  <c r="J9" i="2" s="1"/>
  <c r="C11" i="11"/>
  <c r="D16" i="2" s="1"/>
  <c r="C12" i="11"/>
  <c r="E16" i="2" s="1"/>
  <c r="C10" i="11"/>
  <c r="C16" i="2" s="1"/>
  <c r="A42" i="5" a="1"/>
  <c r="A42" i="5" s="1"/>
  <c r="B29" i="5"/>
  <c r="B19" i="5"/>
  <c r="C25" i="2" s="1"/>
  <c r="B22" i="5"/>
  <c r="B30" i="5"/>
  <c r="B20" i="5"/>
  <c r="O20" i="1"/>
  <c r="O50" i="1"/>
  <c r="O3" i="1"/>
  <c r="O22" i="1"/>
  <c r="O2" i="1"/>
  <c r="O36" i="1"/>
  <c r="O11" i="1"/>
  <c r="O6" i="1"/>
  <c r="O7" i="1"/>
  <c r="O31" i="1"/>
  <c r="O16" i="1"/>
  <c r="O33" i="1"/>
  <c r="O44" i="1"/>
  <c r="O17" i="1"/>
  <c r="O25" i="1"/>
  <c r="O27" i="1"/>
  <c r="O10" i="1"/>
  <c r="O37" i="1"/>
  <c r="O21" i="1"/>
  <c r="O34" i="1"/>
  <c r="O15" i="1"/>
  <c r="O49" i="1"/>
  <c r="O39" i="1"/>
  <c r="O8" i="1"/>
  <c r="O40" i="1"/>
  <c r="O38" i="1"/>
  <c r="O12" i="1"/>
  <c r="O24" i="1"/>
  <c r="O26" i="1"/>
  <c r="O42" i="1"/>
  <c r="O30" i="1"/>
  <c r="O48" i="1"/>
  <c r="O5" i="1"/>
  <c r="O23" i="1"/>
  <c r="O14" i="1"/>
  <c r="O29" i="1"/>
  <c r="O41" i="1"/>
  <c r="O9" i="1"/>
  <c r="O45" i="1"/>
  <c r="O47" i="1"/>
  <c r="O35" i="1"/>
  <c r="O46" i="1"/>
  <c r="O19" i="1"/>
  <c r="O28" i="1"/>
  <c r="O32" i="1"/>
  <c r="O13" i="1"/>
  <c r="O43" i="1"/>
  <c r="O4" i="1"/>
  <c r="O18" i="1"/>
  <c r="M20" i="1"/>
  <c r="M50" i="1"/>
  <c r="M3" i="1"/>
  <c r="M22" i="1"/>
  <c r="M2" i="1"/>
  <c r="M36" i="1"/>
  <c r="M11" i="1"/>
  <c r="M6" i="1"/>
  <c r="M7" i="1"/>
  <c r="M31" i="1"/>
  <c r="M16" i="1"/>
  <c r="M33" i="1"/>
  <c r="M44" i="1"/>
  <c r="M17" i="1"/>
  <c r="M25" i="1"/>
  <c r="M27" i="1"/>
  <c r="M10" i="1"/>
  <c r="M37" i="1"/>
  <c r="M21" i="1"/>
  <c r="M34" i="1"/>
  <c r="M15" i="1"/>
  <c r="M49" i="1"/>
  <c r="M39" i="1"/>
  <c r="M8" i="1"/>
  <c r="M40" i="1"/>
  <c r="M38" i="1"/>
  <c r="M12" i="1"/>
  <c r="M24" i="1"/>
  <c r="M26" i="1"/>
  <c r="M42" i="1"/>
  <c r="M30" i="1"/>
  <c r="M48" i="1"/>
  <c r="M5" i="1"/>
  <c r="M23" i="1"/>
  <c r="M14" i="1"/>
  <c r="M29" i="1"/>
  <c r="M41" i="1"/>
  <c r="M9" i="1"/>
  <c r="M45" i="1"/>
  <c r="M47" i="1"/>
  <c r="M35" i="1"/>
  <c r="M46" i="1"/>
  <c r="M19" i="1"/>
  <c r="M28" i="1"/>
  <c r="M32" i="1"/>
  <c r="M13" i="1"/>
  <c r="M43" i="1"/>
  <c r="M4" i="1"/>
  <c r="M18" i="1"/>
  <c r="H5" i="5" l="1"/>
  <c r="H6" i="5"/>
  <c r="H9" i="5"/>
  <c r="H8" i="5"/>
  <c r="H7" i="5"/>
  <c r="C42" i="5" a="1"/>
  <c r="C42" i="5" s="1"/>
  <c r="L42" i="5" a="1"/>
  <c r="L42" i="5" s="1"/>
  <c r="I17" i="9" s="1" a="1"/>
  <c r="I17" i="9" s="1"/>
  <c r="F17" i="9" a="1"/>
  <c r="F17" i="9" s="1"/>
  <c r="D8" i="2"/>
  <c r="E8" i="2"/>
  <c r="C8" i="2"/>
  <c r="Q14" i="1"/>
  <c r="P14" i="1"/>
  <c r="R14" i="1" s="1"/>
  <c r="Q30" i="1"/>
  <c r="P30" i="1"/>
  <c r="R30" i="1" s="1"/>
  <c r="P39" i="1"/>
  <c r="R39" i="1" s="1"/>
  <c r="Q39" i="1"/>
  <c r="Q17" i="1"/>
  <c r="P17" i="1"/>
  <c r="Q32" i="1"/>
  <c r="P32" i="1"/>
  <c r="R32" i="1" s="1"/>
  <c r="Q26" i="1"/>
  <c r="P26" i="1"/>
  <c r="R26" i="1" s="1"/>
  <c r="P19" i="1"/>
  <c r="Q19" i="1"/>
  <c r="Q33" i="1"/>
  <c r="P33" i="1"/>
  <c r="R33" i="1" s="1"/>
  <c r="Q49" i="1"/>
  <c r="P49" i="1"/>
  <c r="R49" i="1" s="1"/>
  <c r="Q2" i="1"/>
  <c r="P2" i="1"/>
  <c r="R2" i="1" s="1"/>
  <c r="Q18" i="1"/>
  <c r="P18" i="1"/>
  <c r="R18" i="1" s="1"/>
  <c r="Q28" i="1"/>
  <c r="P28" i="1"/>
  <c r="R28" i="1" s="1"/>
  <c r="Q38" i="1"/>
  <c r="P38" i="1"/>
  <c r="R38" i="1" s="1"/>
  <c r="P3" i="1"/>
  <c r="R3" i="1" s="1"/>
  <c r="Q3" i="1"/>
  <c r="Q10" i="1"/>
  <c r="P10" i="1"/>
  <c r="P35" i="1"/>
  <c r="R35" i="1" s="1"/>
  <c r="Q35" i="1"/>
  <c r="Q6" i="1"/>
  <c r="P6" i="1"/>
  <c r="Q20" i="1"/>
  <c r="P20" i="1"/>
  <c r="R20" i="1" s="1"/>
  <c r="P21" i="1"/>
  <c r="R21" i="1" s="1"/>
  <c r="Q21" i="1"/>
  <c r="P5" i="1"/>
  <c r="R5" i="1" s="1"/>
  <c r="Q5" i="1"/>
  <c r="Q13" i="1"/>
  <c r="P13" i="1"/>
  <c r="P37" i="1"/>
  <c r="R37" i="1" s="1"/>
  <c r="Q37" i="1"/>
  <c r="P4" i="1"/>
  <c r="Q4" i="1"/>
  <c r="Q8" i="1"/>
  <c r="P8" i="1"/>
  <c r="Q15" i="1"/>
  <c r="P15" i="1"/>
  <c r="R15" i="1" s="1"/>
  <c r="P7" i="1"/>
  <c r="R7" i="1" s="1"/>
  <c r="Q7" i="1"/>
  <c r="Q48" i="1"/>
  <c r="P48" i="1"/>
  <c r="R48" i="1" s="1"/>
  <c r="Q12" i="1"/>
  <c r="P12" i="1"/>
  <c r="R12" i="1" s="1"/>
  <c r="Q25" i="1"/>
  <c r="P25" i="1"/>
  <c r="R25" i="1" s="1"/>
  <c r="Q50" i="1"/>
  <c r="P50" i="1"/>
  <c r="Q24" i="1"/>
  <c r="P24" i="1"/>
  <c r="R24" i="1" s="1"/>
  <c r="Q40" i="1"/>
  <c r="P40" i="1"/>
  <c r="R40" i="1" s="1"/>
  <c r="Q47" i="1"/>
  <c r="P47" i="1"/>
  <c r="R47" i="1" s="1"/>
  <c r="Q9" i="1"/>
  <c r="P9" i="1"/>
  <c r="R9" i="1" s="1"/>
  <c r="Q36" i="1"/>
  <c r="P36" i="1"/>
  <c r="R36" i="1" s="1"/>
  <c r="Q44" i="1"/>
  <c r="P44" i="1"/>
  <c r="R44" i="1" s="1"/>
  <c r="Q22" i="1"/>
  <c r="P22" i="1"/>
  <c r="Q41" i="1"/>
  <c r="P41" i="1"/>
  <c r="R41" i="1" s="1"/>
  <c r="Q42" i="1"/>
  <c r="P42" i="1"/>
  <c r="R42" i="1" s="1"/>
  <c r="Q11" i="1"/>
  <c r="P11" i="1"/>
  <c r="R11" i="1" s="1"/>
  <c r="Q27" i="1"/>
  <c r="P27" i="1"/>
  <c r="R27" i="1" s="1"/>
  <c r="Q43" i="1"/>
  <c r="P43" i="1"/>
  <c r="R43" i="1" s="1"/>
  <c r="Q16" i="1"/>
  <c r="P16" i="1"/>
  <c r="P23" i="1"/>
  <c r="Q23" i="1"/>
  <c r="Q31" i="1"/>
  <c r="P31" i="1"/>
  <c r="R31" i="1" s="1"/>
  <c r="Q46" i="1"/>
  <c r="P46" i="1"/>
  <c r="R46" i="1" s="1"/>
  <c r="Q29" i="1"/>
  <c r="P29" i="1"/>
  <c r="Q45" i="1"/>
  <c r="P45" i="1"/>
  <c r="R45" i="1" s="1"/>
  <c r="Q34" i="1"/>
  <c r="P34" i="1"/>
  <c r="R34" i="1" s="1"/>
  <c r="G33" i="2"/>
  <c r="C33" i="2" s="1"/>
  <c r="F6" i="5"/>
  <c r="I60" i="5" a="1"/>
  <c r="I60" i="5" s="1"/>
  <c r="F5" i="5"/>
  <c r="F7" i="5"/>
  <c r="F9" i="5"/>
  <c r="I52" i="5" a="1"/>
  <c r="I52" i="5" s="1"/>
  <c r="F8" i="5"/>
  <c r="G42" i="5" a="1"/>
  <c r="G42" i="5" s="1"/>
  <c r="H17" i="9" s="1" a="1"/>
  <c r="H17" i="9" s="1"/>
  <c r="F19" i="5"/>
  <c r="G60" i="5" a="1"/>
  <c r="G60" i="5" s="1"/>
  <c r="B21" i="5"/>
  <c r="N3" i="1"/>
  <c r="N7" i="1"/>
  <c r="N11" i="1"/>
  <c r="N16" i="1"/>
  <c r="N10" i="1"/>
  <c r="N48" i="1"/>
  <c r="N27" i="1"/>
  <c r="N25" i="1"/>
  <c r="N35" i="1"/>
  <c r="N12" i="1"/>
  <c r="N43" i="1"/>
  <c r="N47" i="1"/>
  <c r="H60" i="5" a="1"/>
  <c r="H60" i="5" s="1"/>
  <c r="F34" i="5" a="1"/>
  <c r="F34" i="5" s="1"/>
  <c r="F36" i="5" s="1"/>
  <c r="G34" i="5" s="1" a="1"/>
  <c r="G34" i="5" s="1"/>
  <c r="G36" i="5" s="1"/>
  <c r="N6" i="1"/>
  <c r="N50" i="1"/>
  <c r="N23" i="1"/>
  <c r="N17" i="1"/>
  <c r="N20" i="1"/>
  <c r="N24" i="1"/>
  <c r="N31" i="1"/>
  <c r="N32" i="1"/>
  <c r="N21" i="1"/>
  <c r="N40" i="1"/>
  <c r="N46" i="1"/>
  <c r="N26" i="1"/>
  <c r="H42" i="5" a="1"/>
  <c r="H42" i="5" s="1"/>
  <c r="G69" i="5" a="1"/>
  <c r="G69" i="5" s="1"/>
  <c r="H69" i="5" a="1"/>
  <c r="H69" i="5" s="1"/>
  <c r="I42" i="5" a="1"/>
  <c r="I42" i="5" s="1"/>
  <c r="N5" i="1"/>
  <c r="N9" i="1"/>
  <c r="N29" i="1"/>
  <c r="N19" i="1"/>
  <c r="N13" i="1"/>
  <c r="N36" i="1"/>
  <c r="N45" i="1"/>
  <c r="N33" i="1"/>
  <c r="N37" i="1"/>
  <c r="N44" i="1"/>
  <c r="N34" i="1"/>
  <c r="N49" i="1"/>
  <c r="G52" i="5" a="1"/>
  <c r="G52" i="5" s="1"/>
  <c r="I69" i="5" a="1"/>
  <c r="I69" i="5" s="1"/>
  <c r="B3" i="5"/>
  <c r="B6" i="5" s="1"/>
  <c r="H52" i="5" a="1"/>
  <c r="H52" i="5" s="1"/>
  <c r="N2" i="1"/>
  <c r="N4" i="1"/>
  <c r="N22" i="1"/>
  <c r="N14" i="1"/>
  <c r="N18" i="1"/>
  <c r="N8" i="1"/>
  <c r="N41" i="1"/>
  <c r="N30" i="1"/>
  <c r="N28" i="1"/>
  <c r="N15" i="1"/>
  <c r="N42" i="1"/>
  <c r="N39" i="1"/>
  <c r="N38" i="1"/>
  <c r="B42" i="5" a="1"/>
  <c r="B42" i="5" s="1"/>
  <c r="B52" i="5" a="1"/>
  <c r="B52" i="5" s="1"/>
  <c r="B60" i="5" a="1"/>
  <c r="B60" i="5" s="1"/>
  <c r="B34" i="5" a="1"/>
  <c r="B34" i="5" s="1"/>
  <c r="B69" i="5" a="1"/>
  <c r="B69" i="5" s="1"/>
  <c r="B18" i="5"/>
  <c r="C52" i="5" a="1"/>
  <c r="C52" i="5" s="1"/>
  <c r="E69" i="5" a="1"/>
  <c r="E69" i="5" s="1"/>
  <c r="C69" i="5" a="1"/>
  <c r="C69" i="5" s="1"/>
  <c r="F69" i="5" a="1"/>
  <c r="F69" i="5" s="1"/>
  <c r="C60" i="5" a="1"/>
  <c r="C60" i="5" s="1"/>
  <c r="E60" i="5" a="1"/>
  <c r="E60" i="5" s="1"/>
  <c r="F60" i="5" a="1"/>
  <c r="F60" i="5" s="1"/>
  <c r="E52" i="5" a="1"/>
  <c r="E52" i="5" s="1"/>
  <c r="F52" i="5" a="1"/>
  <c r="F52" i="5" s="1"/>
  <c r="D34" i="5" a="1"/>
  <c r="D34" i="5" s="1"/>
  <c r="D36" i="5" s="1"/>
  <c r="F42" i="5" a="1"/>
  <c r="F42" i="5" s="1"/>
  <c r="E42" i="5" a="1"/>
  <c r="E42" i="5" s="1"/>
  <c r="B26" i="5"/>
  <c r="B25" i="5"/>
  <c r="C25" i="5" s="1"/>
  <c r="B31" i="5"/>
  <c r="C29" i="5" s="1"/>
  <c r="E28" i="2" l="1"/>
  <c r="D29" i="5"/>
  <c r="I11" i="9" a="1"/>
  <c r="I11" i="9" s="1"/>
  <c r="H11" i="9" a="1"/>
  <c r="H11" i="9" s="1"/>
  <c r="C28" i="2"/>
  <c r="G35" i="2" s="1"/>
  <c r="R50" i="1"/>
  <c r="R4" i="1"/>
  <c r="R10" i="1"/>
  <c r="R17" i="1"/>
  <c r="R6" i="1"/>
  <c r="R13" i="1"/>
  <c r="R16" i="1"/>
  <c r="R8" i="1"/>
  <c r="R29" i="1"/>
  <c r="F22" i="5"/>
  <c r="G22" i="5" s="1"/>
  <c r="R23" i="1"/>
  <c r="R19" i="1"/>
  <c r="F20" i="5"/>
  <c r="F21" i="5" s="1"/>
  <c r="K60" i="5" a="1"/>
  <c r="K60" i="5" s="1"/>
  <c r="K64" i="5" s="1"/>
  <c r="R22" i="1"/>
  <c r="J60" i="5" a="1"/>
  <c r="J60" i="5" s="1"/>
  <c r="J64" i="5" s="1"/>
  <c r="J52" i="5" a="1"/>
  <c r="J52" i="5" s="1"/>
  <c r="J56" i="5" s="1"/>
  <c r="K52" i="5" a="1"/>
  <c r="K52" i="5" s="1"/>
  <c r="K56" i="5" s="1"/>
  <c r="J69" i="5" a="1"/>
  <c r="J69" i="5" s="1"/>
  <c r="J75" i="5" s="1"/>
  <c r="K69" i="5" a="1"/>
  <c r="K69" i="5" s="1"/>
  <c r="K75" i="5" s="1"/>
  <c r="J42" i="5" a="1"/>
  <c r="J42" i="5" s="1"/>
  <c r="J46" i="5" s="1"/>
  <c r="K42" i="5" a="1"/>
  <c r="K42" i="5" s="1"/>
  <c r="K46" i="5" s="1"/>
  <c r="G18" i="2"/>
  <c r="E33" i="2"/>
  <c r="D33" i="2"/>
  <c r="E26" i="2"/>
  <c r="C26" i="2" s="1"/>
  <c r="D69" i="5" a="1"/>
  <c r="D69" i="5" s="1"/>
  <c r="D60" i="5" a="1"/>
  <c r="D60" i="5" s="1"/>
  <c r="D52" i="5" a="1"/>
  <c r="D52" i="5" s="1"/>
  <c r="B36" i="5"/>
  <c r="C34" i="5" s="1" a="1"/>
  <c r="C34" i="5" s="1"/>
  <c r="C36" i="5" s="1"/>
  <c r="E34" i="5" a="1"/>
  <c r="E34" i="5" s="1"/>
  <c r="E36" i="5" s="1"/>
  <c r="D42" i="5" a="1"/>
  <c r="D42" i="5" s="1"/>
  <c r="G17" i="9" s="1" a="1"/>
  <c r="G17" i="9" s="1"/>
  <c r="F11" i="5"/>
  <c r="C30" i="5"/>
  <c r="C31" i="5" s="1"/>
  <c r="L64" i="5" l="1"/>
  <c r="E10" i="2"/>
  <c r="C10" i="2"/>
  <c r="C35" i="2"/>
  <c r="C39" i="2" s="1"/>
  <c r="E35" i="2"/>
  <c r="E39" i="2" s="1"/>
  <c r="D35" i="2"/>
  <c r="D39" i="2" s="1"/>
  <c r="D10" i="2"/>
  <c r="L46" i="5"/>
  <c r="L75" i="5"/>
  <c r="L56" i="5"/>
  <c r="E18" i="2"/>
  <c r="D18" i="2"/>
  <c r="C18" i="2"/>
  <c r="D37" i="2"/>
  <c r="D38" i="2" s="1"/>
  <c r="C37" i="2"/>
  <c r="C38" i="2" s="1"/>
  <c r="F37" i="2"/>
  <c r="F38" i="2" s="1"/>
  <c r="E37" i="2"/>
  <c r="E38" i="2" s="1"/>
  <c r="G6" i="5" a="1"/>
  <c r="G6" i="5" s="1"/>
  <c r="G7" i="5" a="1"/>
  <c r="G7" i="5" s="1"/>
  <c r="G8" i="5" a="1"/>
  <c r="G8" i="5" s="1"/>
  <c r="G9" i="5" a="1"/>
  <c r="G9" i="5" s="1"/>
  <c r="G5" i="5" a="1"/>
  <c r="G5" i="5" s="1"/>
  <c r="G10" i="2" l="1"/>
  <c r="G11" i="9" a="1"/>
  <c r="G11" i="9" s="1"/>
  <c r="F19" i="2"/>
  <c r="E19" i="2"/>
  <c r="D19" i="2"/>
  <c r="C19" i="2"/>
  <c r="F11" i="2"/>
  <c r="E11" i="2"/>
  <c r="D11" i="2"/>
  <c r="C11" i="2"/>
  <c r="C12" i="2" s="1"/>
  <c r="G39" i="2"/>
  <c r="G40" i="2" s="1"/>
  <c r="G11" i="5"/>
  <c r="C20" i="2" l="1"/>
  <c r="F20" i="2"/>
  <c r="F12" i="2"/>
  <c r="G19" i="2" l="1"/>
  <c r="G20" i="2" s="1"/>
  <c r="D20" i="2"/>
  <c r="D12" i="2"/>
  <c r="E12" i="2" l="1"/>
  <c r="G11" i="2"/>
  <c r="H20" i="2"/>
  <c r="E20" i="2"/>
  <c r="G12" i="2"/>
  <c r="H12"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<sst xmlns="http://schemas.openxmlformats.org/spreadsheetml/2006/main" count="610" uniqueCount="258">
  <si>
    <t>Account Name</t>
  </si>
  <si>
    <t>Annual Recurring Revenue (ARR)</t>
  </si>
  <si>
    <t>Opportunity Create Date</t>
  </si>
  <si>
    <t>Close Date</t>
  </si>
  <si>
    <t>Sales Rep</t>
  </si>
  <si>
    <t>Lead Source</t>
  </si>
  <si>
    <t>Stage</t>
  </si>
  <si>
    <t>Probability</t>
  </si>
  <si>
    <t>Product Line</t>
  </si>
  <si>
    <t>Region</t>
  </si>
  <si>
    <t>Customer Segment</t>
  </si>
  <si>
    <t>Global Innovations Inc.</t>
  </si>
  <si>
    <t>Lucy Smith</t>
  </si>
  <si>
    <t>Webinar</t>
  </si>
  <si>
    <t>Closed Won</t>
  </si>
  <si>
    <t>Software</t>
  </si>
  <si>
    <t>North America</t>
  </si>
  <si>
    <t>Enterprise</t>
  </si>
  <si>
    <t>Tech Solutions LLC</t>
  </si>
  <si>
    <t>Bob Johnson</t>
  </si>
  <si>
    <t>Referral</t>
  </si>
  <si>
    <t>Services</t>
  </si>
  <si>
    <t>Mid-Market</t>
  </si>
  <si>
    <t>Future Systems Corp.</t>
  </si>
  <si>
    <t>Charlie Brown</t>
  </si>
  <si>
    <t>Outbound SDR</t>
  </si>
  <si>
    <t>Negotiation/Review</t>
  </si>
  <si>
    <t>EMEA</t>
  </si>
  <si>
    <t>InnovateX Ltd.</t>
  </si>
  <si>
    <t>Inbound Marketing</t>
  </si>
  <si>
    <t>Closed Lost</t>
  </si>
  <si>
    <t>APAC</t>
  </si>
  <si>
    <t>SMB</t>
  </si>
  <si>
    <t>Pioneer Group</t>
  </si>
  <si>
    <t>Partner</t>
  </si>
  <si>
    <t>Value Proposition</t>
  </si>
  <si>
    <t>Nexus Dynamics</t>
  </si>
  <si>
    <t>Apex Solutions</t>
  </si>
  <si>
    <t>Qualification</t>
  </si>
  <si>
    <t>Quantum Enterprises</t>
  </si>
  <si>
    <t>Elite Corp.</t>
  </si>
  <si>
    <t>Needs Analysis</t>
  </si>
  <si>
    <t>Synergy Systems</t>
  </si>
  <si>
    <t>Vanguard Tech</t>
  </si>
  <si>
    <t>Horizon Innovations</t>
  </si>
  <si>
    <t>Optima Solutions</t>
  </si>
  <si>
    <t>Prime Dynamics</t>
  </si>
  <si>
    <t>Prospecting</t>
  </si>
  <si>
    <t>Converge Corp.</t>
  </si>
  <si>
    <t>Stratosphere Inc.</t>
  </si>
  <si>
    <t>Infinite Systems</t>
  </si>
  <si>
    <t>Global Connect</t>
  </si>
  <si>
    <t>Dynamic Edge</t>
  </si>
  <si>
    <t>Ascend Technologies</t>
  </si>
  <si>
    <t>Velocity Solutions</t>
  </si>
  <si>
    <t>Everest Corp.</t>
  </si>
  <si>
    <t>Momentum Group</t>
  </si>
  <si>
    <t>Transcend Systems</t>
  </si>
  <si>
    <t>Catalyst Innovations</t>
  </si>
  <si>
    <t>Fusion Dynamics</t>
  </si>
  <si>
    <t>Stellar Solutions</t>
  </si>
  <si>
    <t>Global Reach Inc.</t>
  </si>
  <si>
    <t>Unified Corp.</t>
  </si>
  <si>
    <t>Pathfinder Systems</t>
  </si>
  <si>
    <t>Bright Horizon</t>
  </si>
  <si>
    <t>Digital Core</t>
  </si>
  <si>
    <t>NextGen Solutions</t>
  </si>
  <si>
    <t>Innovision Tech</t>
  </si>
  <si>
    <t>Enterprise X</t>
  </si>
  <si>
    <t>Summit Corp.</t>
  </si>
  <si>
    <t>Alpha Systems</t>
  </si>
  <si>
    <t>Omega Dynamics</t>
  </si>
  <si>
    <t>Zenith Innovations</t>
  </si>
  <si>
    <t>GlobalScale Inc.</t>
  </si>
  <si>
    <t>ConnectWise Ltd.</t>
  </si>
  <si>
    <t>Prime Ventures</t>
  </si>
  <si>
    <t>Synapse Corp.</t>
  </si>
  <si>
    <t>Visionary Tech</t>
  </si>
  <si>
    <t>Unified Solutions</t>
  </si>
  <si>
    <t>Core Systems</t>
  </si>
  <si>
    <t>BrightSpot Inc.</t>
  </si>
  <si>
    <t>Frontier Dynamics</t>
  </si>
  <si>
    <t>Apex Global</t>
  </si>
  <si>
    <t>General Stage</t>
  </si>
  <si>
    <t>Sales Close Days</t>
  </si>
  <si>
    <t>1st month of Revenue (SF)</t>
  </si>
  <si>
    <t>Win Rate</t>
  </si>
  <si>
    <t xml:space="preserve">S1 ARR * SF Probability </t>
  </si>
  <si>
    <t>Phasing Month Forecast</t>
  </si>
  <si>
    <t>Forecast ARR</t>
  </si>
  <si>
    <t xml:space="preserve">Sales Cycle Average - Closed Won </t>
  </si>
  <si>
    <t>Total ARR</t>
  </si>
  <si>
    <t xml:space="preserve">Closed won deals </t>
  </si>
  <si>
    <t xml:space="preserve">Closed lost deals </t>
  </si>
  <si>
    <t>Closed Won Deals</t>
  </si>
  <si>
    <t>Closed Lost Deals</t>
  </si>
  <si>
    <t>▪</t>
  </si>
  <si>
    <t>Rev Date according to Sales Stage</t>
  </si>
  <si>
    <t>Revenue - Type</t>
  </si>
  <si>
    <t>Total Pipeline ARR</t>
  </si>
  <si>
    <t>ARR of Past Due Deals</t>
  </si>
  <si>
    <t>New opps placeholder</t>
  </si>
  <si>
    <t>Sales Team</t>
  </si>
  <si>
    <t>Sales Cycle Days Average</t>
  </si>
  <si>
    <t>Sep</t>
  </si>
  <si>
    <t>Oct</t>
  </si>
  <si>
    <t>Nov</t>
  </si>
  <si>
    <t xml:space="preserve">Total </t>
  </si>
  <si>
    <t>Average opps created per month</t>
  </si>
  <si>
    <t>Total Revenue addition to the Pipeline</t>
  </si>
  <si>
    <t xml:space="preserve">Number of Opps to add </t>
  </si>
  <si>
    <t xml:space="preserve">Pipeline Coverage </t>
  </si>
  <si>
    <t>Target MRR next quarter</t>
  </si>
  <si>
    <t>Pipeline - ARR by Stage</t>
  </si>
  <si>
    <t>Average $ ARR Opp Value</t>
  </si>
  <si>
    <t>Excluding rows with negative days</t>
  </si>
  <si>
    <t>If not excluding errors</t>
  </si>
  <si>
    <t>Statistics Summary - Sales Metrics</t>
  </si>
  <si>
    <t>% ARR</t>
  </si>
  <si>
    <t xml:space="preserve">Period </t>
  </si>
  <si>
    <t>Sep - Nov</t>
  </si>
  <si>
    <t xml:space="preserve">Phasing - Seasonality </t>
  </si>
  <si>
    <t xml:space="preserve">Plan - Revenue </t>
  </si>
  <si>
    <t>Year</t>
  </si>
  <si>
    <t>Month</t>
  </si>
  <si>
    <t>Target - Plan</t>
  </si>
  <si>
    <t>Plan Assumptions and Allocation (Sep–Nov)</t>
  </si>
  <si>
    <t>Forecast Assumptions</t>
  </si>
  <si>
    <t>Revenue Phasing</t>
  </si>
  <si>
    <t>Other Revenue changes</t>
  </si>
  <si>
    <t>Scenarios</t>
  </si>
  <si>
    <t>Revenue Forecast</t>
  </si>
  <si>
    <t>Revenue from "New Opportunities" Placeholder</t>
  </si>
  <si>
    <t>Days</t>
  </si>
  <si>
    <t>Total average $ARR Opps (closed deals)</t>
  </si>
  <si>
    <t>Current reference</t>
  </si>
  <si>
    <t>Pushed to 2026</t>
  </si>
  <si>
    <t>Total ARR from New Opps - 2025</t>
  </si>
  <si>
    <t>Opportunity Closing Date</t>
  </si>
  <si>
    <t>Period: Nov - Sep 2025</t>
  </si>
  <si>
    <t>TOTAL ARR Fcst</t>
  </si>
  <si>
    <t>Current Reference</t>
  </si>
  <si>
    <t>Target ARR - Plan</t>
  </si>
  <si>
    <t>Current Month - ARR start date</t>
  </si>
  <si>
    <t xml:space="preserve">Plan </t>
  </si>
  <si>
    <t>Average Sales Cycle Days</t>
  </si>
  <si>
    <t xml:space="preserve">Index </t>
  </si>
  <si>
    <t>Forecast Sep - Nov 2025</t>
  </si>
  <si>
    <t xml:space="preserve">Dashboard </t>
  </si>
  <si>
    <t xml:space="preserve">Metrics &amp; Statistics </t>
  </si>
  <si>
    <t>Data Source</t>
  </si>
  <si>
    <t>New Opportunities Placeholder</t>
  </si>
  <si>
    <t>Average Closed Won $ ARR</t>
  </si>
  <si>
    <t>Current open ARR</t>
  </si>
  <si>
    <t xml:space="preserve">Average Sales Cycle Days </t>
  </si>
  <si>
    <t xml:space="preserve">Closed Opportunities </t>
  </si>
  <si>
    <t># Current Opp in Pipeline</t>
  </si>
  <si>
    <t xml:space="preserve"># Total Closed deals per rep </t>
  </si>
  <si>
    <t xml:space="preserve"># Total Closed Won deals per rep </t>
  </si>
  <si>
    <t>Current Average $ ARR</t>
  </si>
  <si>
    <t>Win Rate - General</t>
  </si>
  <si>
    <t>General Metrics</t>
  </si>
  <si>
    <t>Metrics by Sales Rep</t>
  </si>
  <si>
    <t>$ ARR by Stage</t>
  </si>
  <si>
    <t># of Average Opps Created per month</t>
  </si>
  <si>
    <t>All Closed deals</t>
  </si>
  <si>
    <t>Pipeline Hygiene</t>
  </si>
  <si>
    <t>Past Due Deals</t>
  </si>
  <si>
    <t>Past Due $ARR</t>
  </si>
  <si>
    <t>Metrics by Region</t>
  </si>
  <si>
    <t>Metrics by Segment</t>
  </si>
  <si>
    <t>Product Line Mix</t>
  </si>
  <si>
    <t>Closed Deals</t>
  </si>
  <si>
    <t>Metrics by Lead Source</t>
  </si>
  <si>
    <t>% Mix</t>
  </si>
  <si>
    <t>Segment</t>
  </si>
  <si>
    <t># Opps created</t>
  </si>
  <si>
    <t>Forecast</t>
  </si>
  <si>
    <t># of Past Due Deals</t>
  </si>
  <si>
    <t>% Past Due</t>
  </si>
  <si>
    <t>#</t>
  </si>
  <si>
    <t>%</t>
  </si>
  <si>
    <t># of Total Deals in Pipeline (Open)</t>
  </si>
  <si>
    <t>Open Opps</t>
  </si>
  <si>
    <t>Average All Opps (closed and Open)</t>
  </si>
  <si>
    <t>Current Open Deals</t>
  </si>
  <si>
    <t>As of Aug 31st</t>
  </si>
  <si>
    <t>Days past since Opp creation</t>
  </si>
  <si>
    <t>Overdue</t>
  </si>
  <si>
    <t xml:space="preserve">Scenario 1: Considering only Salesforce Probability on ARR $ </t>
  </si>
  <si>
    <t>#1</t>
  </si>
  <si>
    <t>#2</t>
  </si>
  <si>
    <t>Assumption from Plan</t>
  </si>
  <si>
    <t>Assumptions – Pipeline-Driven Forecast Model</t>
  </si>
  <si>
    <r>
      <t>Quarter:</t>
    </r>
    <r>
      <rPr>
        <sz val="10"/>
        <color theme="1"/>
        <rFont val="Aptos"/>
        <family val="2"/>
      </rPr>
      <t xml:space="preserve"> Sep–Nov 2025</t>
    </r>
  </si>
  <si>
    <r>
      <t xml:space="preserve">All opportunities treated as </t>
    </r>
    <r>
      <rPr>
        <b/>
        <sz val="10"/>
        <color theme="1"/>
        <rFont val="Aptos"/>
        <family val="2"/>
      </rPr>
      <t>Recurring Revenue</t>
    </r>
    <r>
      <rPr>
        <sz val="10"/>
        <color theme="1"/>
        <rFont val="Aptos"/>
        <family val="2"/>
      </rPr>
      <t xml:space="preserve"> (no projects).</t>
    </r>
  </si>
  <si>
    <r>
      <t>Based on Lead Source categories (</t>
    </r>
    <r>
      <rPr>
        <i/>
        <sz val="10"/>
        <color theme="1"/>
        <rFont val="Aptos"/>
        <family val="2"/>
      </rPr>
      <t>Inbound Marketing, Outbound SDR, Partner, Referral, Webinar</t>
    </r>
    <r>
      <rPr>
        <sz val="10"/>
        <color theme="1"/>
        <rFont val="Aptos"/>
        <family val="2"/>
      </rPr>
      <t xml:space="preserve">), all opportunities classified as </t>
    </r>
    <r>
      <rPr>
        <b/>
        <sz val="10"/>
        <color theme="1"/>
        <rFont val="Aptos"/>
        <family val="2"/>
      </rPr>
      <t>New Business</t>
    </r>
    <r>
      <rPr>
        <sz val="10"/>
        <color theme="1"/>
        <rFont val="Aptos"/>
        <family val="2"/>
      </rPr>
      <t xml:space="preserve"> (no renewals).</t>
    </r>
  </si>
  <si>
    <r>
      <t xml:space="preserve">Opportunities closing </t>
    </r>
    <r>
      <rPr>
        <b/>
        <sz val="10"/>
        <color theme="1"/>
        <rFont val="Aptos"/>
        <family val="2"/>
      </rPr>
      <t>Sep 2025 or later</t>
    </r>
    <r>
      <rPr>
        <sz val="10"/>
        <color theme="1"/>
        <rFont val="Aptos"/>
        <family val="2"/>
      </rPr>
      <t xml:space="preserve">: revenue starts the following month (e.g., Sep 25 close → Oct 25 start). </t>
    </r>
    <r>
      <rPr>
        <i/>
        <sz val="10"/>
        <color theme="1"/>
        <rFont val="Aptos"/>
        <family val="2"/>
      </rPr>
      <t>(Scenario 1 only)</t>
    </r>
  </si>
  <si>
    <r>
      <t>Negotiation/Review</t>
    </r>
    <r>
      <rPr>
        <sz val="10"/>
        <color theme="1"/>
        <rFont val="Aptos"/>
        <family val="2"/>
      </rPr>
      <t xml:space="preserve"> → Sep revenue</t>
    </r>
  </si>
  <si>
    <r>
      <t>Value Proposition</t>
    </r>
    <r>
      <rPr>
        <sz val="10"/>
        <color theme="1"/>
        <rFont val="Aptos"/>
        <family val="2"/>
      </rPr>
      <t xml:space="preserve"> → Oct revenue</t>
    </r>
  </si>
  <si>
    <r>
      <t>Earlier stages</t>
    </r>
    <r>
      <rPr>
        <sz val="10"/>
        <color theme="1"/>
        <rFont val="Aptos"/>
        <family val="2"/>
      </rPr>
      <t xml:space="preserve"> → Nov revenue</t>
    </r>
  </si>
  <si>
    <r>
      <t xml:space="preserve">Opportunities closing </t>
    </r>
    <r>
      <rPr>
        <b/>
        <sz val="10"/>
        <color theme="1"/>
        <rFont val="Aptos"/>
        <family val="2"/>
      </rPr>
      <t>before Sep 2025</t>
    </r>
    <r>
      <rPr>
        <sz val="10"/>
        <color theme="1"/>
        <rFont val="Aptos"/>
        <family val="2"/>
      </rPr>
      <t>: shifted to next quarter, phased by Sales Stage (Scenario 1 only):</t>
    </r>
  </si>
  <si>
    <r>
      <t xml:space="preserve">Since data only covers opportunities created through Aug 2025, a placeholder is included for </t>
    </r>
    <r>
      <rPr>
        <b/>
        <sz val="10"/>
        <color theme="1"/>
        <rFont val="Aptos"/>
        <family val="2"/>
      </rPr>
      <t>new leads created after Sep 1, 2025</t>
    </r>
    <r>
      <rPr>
        <sz val="10"/>
        <color theme="1"/>
        <rFont val="Aptos"/>
        <family val="2"/>
      </rPr>
      <t>.</t>
    </r>
  </si>
  <si>
    <t>Revenue estimated using:</t>
  </si>
  <si>
    <t>Avg. monthly opportunities created (Apr–Aug 2025)</t>
  </si>
  <si>
    <t>Moving $ARR average of Closed Won opportunities (Apr–Aug 2025)</t>
  </si>
  <si>
    <t>Win rate from Closed Won opportunities (Apr–Aug 2025)</t>
  </si>
  <si>
    <t>Modifiable parameter: Avg. Sales Cycle Days from closed deals (drives monthly phasing).</t>
  </si>
  <si>
    <r>
      <t xml:space="preserve">Churn, contraction, and expansion </t>
    </r>
    <r>
      <rPr>
        <b/>
        <sz val="10"/>
        <color theme="1"/>
        <rFont val="Aptos"/>
        <family val="2"/>
      </rPr>
      <t>not included</t>
    </r>
    <r>
      <rPr>
        <sz val="10"/>
        <color theme="1"/>
        <rFont val="Aptos"/>
        <family val="2"/>
      </rPr>
      <t>.</t>
    </r>
  </si>
  <si>
    <t>Team structure unchanged during forecast period (no new hires or exits).</t>
  </si>
  <si>
    <r>
      <t xml:space="preserve">All team members are experienced; </t>
    </r>
    <r>
      <rPr>
        <b/>
        <sz val="10"/>
        <color theme="1"/>
        <rFont val="Aptos"/>
        <family val="2"/>
      </rPr>
      <t>no onboarding ramp</t>
    </r>
    <r>
      <rPr>
        <sz val="10"/>
        <color theme="1"/>
        <rFont val="Aptos"/>
        <family val="2"/>
      </rPr>
      <t xml:space="preserve"> assumed.</t>
    </r>
  </si>
  <si>
    <r>
      <t>Base Case</t>
    </r>
    <r>
      <rPr>
        <sz val="10"/>
        <color theme="1"/>
        <rFont val="Aptos"/>
        <family val="2"/>
      </rPr>
      <t>: Salesforce probability-weighted ARR + New Opportunities created after Sep 1, 2025.</t>
    </r>
  </si>
  <si>
    <r>
      <t>Adjusted Case</t>
    </r>
    <r>
      <rPr>
        <sz val="10"/>
        <color theme="1"/>
        <rFont val="Aptos"/>
        <family val="2"/>
      </rPr>
      <t>: Based on Scenario 1, with probabilities modifiable for conservative/optimistic views.</t>
    </r>
  </si>
  <si>
    <r>
      <t xml:space="preserve">Metrics/Dashboard development based on </t>
    </r>
    <r>
      <rPr>
        <b/>
        <sz val="10"/>
        <color theme="1"/>
        <rFont val="Aptos"/>
        <family val="2"/>
      </rPr>
      <t>Scenario 1</t>
    </r>
    <r>
      <rPr>
        <sz val="10"/>
        <color theme="1"/>
        <rFont val="Aptos"/>
        <family val="2"/>
      </rPr>
      <t>.</t>
    </r>
  </si>
  <si>
    <t>Plan incorporates ARR amounts, phasing, win rate, and average sales cycle days.</t>
  </si>
  <si>
    <t>Plan Reference</t>
  </si>
  <si>
    <t>Used for phasing opportunities with Close Dates before September, these are shifted to the next quarter (Sep–Nov).</t>
  </si>
  <si>
    <t>Scenario 2: Applying adjusted probabilities to Scenario 1 ARR $</t>
  </si>
  <si>
    <t>Expected ARR – Current Open Opportunities (Salesforce)</t>
  </si>
  <si>
    <t>Total Pipeline ARR $</t>
  </si>
  <si>
    <t>Pipeline Stages</t>
  </si>
  <si>
    <t>Average Days since start date</t>
  </si>
  <si>
    <t>Average Days since Opp start date</t>
  </si>
  <si>
    <t xml:space="preserve">For the plan, management set a quarterly goal of approximately $1.2M, distributed across Sep–Nov with 35–40% weighted to September and October to reflect stronger early-quarter buying behavior, and 25% allocated to November given holiday seasonality and fewer selling days. A conservative approach was taken in light of market tariff uncertainty and the transition to a new government administration, both of which were expected to influence customer purchasing decisions. </t>
  </si>
  <si>
    <t>ARR Closed</t>
  </si>
  <si>
    <t>Next Quarter Target ARR (Plan)</t>
  </si>
  <si>
    <t>Plan</t>
  </si>
  <si>
    <t>Process summary</t>
  </si>
  <si>
    <t>1. Data Source Received</t>
  </si>
  <si>
    <t xml:space="preserve">2. Addition of helper columns </t>
  </si>
  <si>
    <t>3. Metrics calculations</t>
  </si>
  <si>
    <t>4. Inclusion of an Automated Dashboard</t>
  </si>
  <si>
    <r>
      <t xml:space="preserve">Contracts from current pipeline opportunities begin </t>
    </r>
    <r>
      <rPr>
        <b/>
        <sz val="10"/>
        <color theme="1"/>
        <rFont val="Aptos"/>
        <family val="2"/>
      </rPr>
      <t>on the 1st of the month following the Close Date</t>
    </r>
    <r>
      <rPr>
        <sz val="10"/>
        <color theme="1"/>
        <rFont val="Aptos"/>
        <family val="2"/>
      </rPr>
      <t xml:space="preserve">. </t>
    </r>
  </si>
  <si>
    <t>5. Hypothetical Plan</t>
  </si>
  <si>
    <t>6. Aesthetics</t>
  </si>
  <si>
    <t>Glossary for helper columns context</t>
  </si>
  <si>
    <t>Column</t>
  </si>
  <si>
    <t>Description</t>
  </si>
  <si>
    <t xml:space="preserve">Salesforce pipeline download provided as the starting dataset. </t>
  </si>
  <si>
    <t>Added helper columns (top row in green) to simplify calculations</t>
  </si>
  <si>
    <t>Ensures the model refreshes automatically when new data is added or replaced, minimizing manual adjustments.</t>
  </si>
  <si>
    <t>Most metrics calculated with spill formulas for automation (vs. pivot tables that require manual refresh).</t>
  </si>
  <si>
    <t>Designed for scalability when new data is pulled.</t>
  </si>
  <si>
    <t>Created a dashboard linked to metrics, focused on the Take-Home Assignment questions.</t>
  </si>
  <si>
    <t>Built to be presentation-ready in PowerPoint.</t>
  </si>
  <si>
    <t>Tabs and visuals formatted to align with company branding and maintain clarity.</t>
  </si>
  <si>
    <t>Developed a high-level plan for comparison using Total ARR, Win Rate, and Sales Cycle Days from Closed Won deals. While there isn’t a separate comparison tab, these metrics are integrated into the Forecast and Metrics views, with visual indicators (green/red circles) to highlight how forecast/ actuals align against the plan.</t>
  </si>
  <si>
    <t>Categorizes opportunities as Open or Closed deals.</t>
  </si>
  <si>
    <t>Number of days between Opportunity Create Date and Salesforce Close Date.</t>
  </si>
  <si>
    <t>Calculates ARR multiplied by the Salesforce probability % for that opportunity.</t>
  </si>
  <si>
    <t>Assigns the first revenue month as the immediate month following the Salesforce Close Date.</t>
  </si>
  <si>
    <t>Flags opportunities with a Close Date earlier than the current month (Sep 2025) as Overdue; opportunities with future close dates are Current.</t>
  </si>
  <si>
    <t>Uses Close Date and adjusts it based on the sales stage to determine if revenue is expected in Sep, Oct, or Nov. Ensures overdue opportunities are rephased according to stage progression.</t>
  </si>
  <si>
    <t>Days between Opportunity Create Date and Sep 1, 2025.</t>
  </si>
  <si>
    <t>Overdue opportunities → reassigned to Sep, Oct, or Nov based on sales stage (e.g., Negotiation → Sep, Value Proposition → Oct, Prospecting/Qualification → Nov). Current /Not overdue opportunities → keep their original Salesforce Close Date (no stage adjustment applied).</t>
  </si>
  <si>
    <t>Assignment Approach</t>
  </si>
  <si>
    <t xml:space="preserve">Current $ ARR </t>
  </si>
  <si>
    <t>Case Approach &amp;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</si>
</sst>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6" formatCode="&quot;$&quot;#,##0_);[Red]\(&quot;$&quot;#,##0\)"/>
    <numFmt numFmtId="44" formatCode="_(&quot;$&quot;* #,##0.00_);_(&quot;$&quot;* \(#,##0.00\);_(&quot;$&quot;* &quot;-&quot;??_);_(@_)"/>
    <numFmt numFmtId="43" formatCode="_(* #,##0.00_);_(* \(#,##0.00\);_(* &quot;-&quot;??_);_(@_)"/>
    <numFmt numFmtId="164" formatCode="_(* #,##0_);_(* \(#,##0\);_(* &quot;-&quot;??_);_(@_)"/>
    <numFmt numFmtId="165" formatCode="&quot;$&quot;#,##0.0,,\ &quot;M&quot;"/>
    <numFmt numFmtId="166" formatCode="_(&quot;$&quot;* #,##0_);_(&quot;$&quot;* \(#,##0\);_(&quot;$&quot;* &quot;-&quot;??_);_(@_)"/>
    <numFmt numFmtId="167" formatCode="0.0"/>
    <numFmt numFmtId="168" formatCode="&quot;$&quot;#,##0,&quot;K&quot;"/>
    <numFmt numFmtId="169" formatCode="0.0\x"/>
    <numFmt numFmtId="170" formatCode="[$-409]mmm\-yy;@"/>
  </numFmts>
  <fonts count="74">
    <font>
      <sz val="10"/>
      <color theme="1"/>
      <name val="Aptos"/>
      <family val="2"/>
    </font>
    <font>
      <sz val="10"/>
      <color theme="1"/>
      <name val="Aptos"/>
      <family val="2"/>
    </font>
    <font>
      <sz val="18"/>
      <color theme="3"/>
      <name val="Aptos Display"/>
      <family val="2"/>
      <scheme val="major"/>
    </font>
    <font>
      <b/>
      <sz val="15"/>
      <color theme="3"/>
      <name val="Aptos"/>
      <family val="2"/>
    </font>
    <font>
      <b/>
      <sz val="13"/>
      <color theme="3"/>
      <name val="Aptos"/>
      <family val="2"/>
    </font>
    <font>
      <b/>
      <sz val="11"/>
      <color theme="3"/>
      <name val="Aptos"/>
      <family val="2"/>
    </font>
    <font>
      <sz val="10"/>
      <color rgb="FF006100"/>
      <name val="Aptos"/>
      <family val="2"/>
    </font>
    <font>
      <sz val="10"/>
      <color rgb="FF9C0006"/>
      <name val="Aptos"/>
      <family val="2"/>
    </font>
    <font>
      <sz val="10"/>
      <color rgb="FF9C5700"/>
      <name val="Aptos"/>
      <family val="2"/>
    </font>
    <font>
      <sz val="10"/>
      <color rgb="FF3F3F76"/>
      <name val="Aptos"/>
      <family val="2"/>
    </font>
    <font>
      <b/>
      <sz val="10"/>
      <color rgb="FF3F3F3F"/>
      <name val="Aptos"/>
      <family val="2"/>
    </font>
    <font>
      <b/>
      <sz val="10"/>
      <color rgb="FFFA7D00"/>
      <name val="Aptos"/>
      <family val="2"/>
    </font>
    <font>
      <sz val="10"/>
      <color rgb="FFFA7D00"/>
      <name val="Aptos"/>
      <family val="2"/>
    </font>
    <font>
      <b/>
      <sz val="10"/>
      <color theme="0"/>
      <name val="Aptos"/>
      <family val="2"/>
    </font>
    <font>
      <sz val="10"/>
      <color rgb="FFFF0000"/>
      <name val="Aptos"/>
      <family val="2"/>
    </font>
    <font>
      <i/>
      <sz val="10"/>
      <color rgb="FF7F7F7F"/>
      <name val="Aptos"/>
      <family val="2"/>
    </font>
    <font>
      <b/>
      <sz val="10"/>
      <color theme="1"/>
      <name val="Aptos"/>
      <family val="2"/>
    </font>
    <font>
      <sz val="10"/>
      <color theme="0"/>
      <name val="Aptos"/>
      <family val="2"/>
    </font>
    <font>
      <b/>
      <sz val="10"/>
      <name val="Aptos"/>
      <family val="2"/>
    </font>
    <font>
      <i/>
      <sz val="10"/>
      <color theme="1"/>
      <name val="Aptos"/>
      <family val="2"/>
    </font>
    <font>
      <b/>
      <i/>
      <sz val="10"/>
      <color rgb="FF64A48C"/>
      <name val="Aptos"/>
      <family val="2"/>
    </font>
    <font>
      <sz val="12"/>
      <color theme="0"/>
      <name val="Merriweather Black 18pt"/>
    </font>
    <font>
      <b/>
      <sz val="10"/>
      <color rgb="FF2CA884"/>
      <name val="Aptos"/>
      <family val="2"/>
    </font>
    <font>
      <sz val="10"/>
      <name val="Aptos"/>
      <family val="2"/>
    </font>
    <font>
      <sz val="11"/>
      <color theme="1"/>
      <name val="Aptos"/>
      <family val="2"/>
    </font>
    <font>
      <i/>
      <sz val="11"/>
      <color theme="1"/>
      <name val="Aptos"/>
      <family val="2"/>
    </font>
    <font>
      <sz val="12"/>
      <color rgb="FF2CA884"/>
      <name val="Merriweather Black 18pt"/>
    </font>
    <font>
      <b/>
      <sz val="11"/>
      <color rgb="FF2CA884"/>
      <name val="Aptos"/>
      <family val="2"/>
    </font>
    <font>
      <sz val="11"/>
      <color rgb="FF2CA884"/>
      <name val="Aptos"/>
      <family val="2"/>
    </font>
    <font>
      <b/>
      <sz val="11"/>
      <color theme="1"/>
      <name val="Aptos"/>
      <family val="2"/>
    </font>
    <font>
      <b/>
      <sz val="12"/>
      <color rgb="FF2CA884"/>
      <name val="Merriweather ExtraBold 18pt"/>
    </font>
    <font>
      <sz val="12"/>
      <color theme="1"/>
      <name val="Merriweather ExtraBold 18pt"/>
    </font>
    <font>
      <u/>
      <sz val="10"/>
      <color theme="10"/>
      <name val="Aptos"/>
      <family val="2"/>
    </font>
    <font>
      <sz val="14"/>
      <color rgb="FF093D33"/>
      <name val="Merriweather Black 18pt"/>
    </font>
    <font>
      <sz val="16"/>
      <color theme="1"/>
      <name val="Aptos"/>
      <family val="2"/>
    </font>
    <font>
      <sz val="22"/>
      <color rgb="FF093D33"/>
      <name val="Merriweather Black 18pt"/>
    </font>
    <font>
      <b/>
      <sz val="16"/>
      <color theme="1"/>
      <name val="Aptos"/>
      <family val="2"/>
    </font>
    <font>
      <b/>
      <sz val="16"/>
      <name val="Aptos"/>
      <family val="2"/>
    </font>
    <font>
      <sz val="16"/>
      <name val="Aptos"/>
      <family val="2"/>
    </font>
    <font>
      <sz val="11"/>
      <color rgb="FF2CA884"/>
      <name val="Nunito Sans Normal"/>
    </font>
    <font>
      <sz val="11"/>
      <color theme="1"/>
      <name val="Nunito Sans Normal"/>
    </font>
    <font>
      <b/>
      <sz val="11"/>
      <color theme="1"/>
      <name val="Nunito Sans Normal"/>
    </font>
    <font>
      <b/>
      <sz val="16"/>
      <name val="Nunito Sans Normal Black"/>
    </font>
    <font>
      <b/>
      <sz val="16"/>
      <color theme="1"/>
      <name val="Nunito Sans Normal Black"/>
    </font>
    <font>
      <sz val="16"/>
      <color theme="1"/>
      <name val="Nunito Sans Normal Black"/>
    </font>
    <font>
      <b/>
      <sz val="16"/>
      <name val="Nunito Sans Normal"/>
    </font>
    <font>
      <sz val="10"/>
      <color theme="1"/>
      <name val="Nunito Sans Normal"/>
    </font>
    <font>
      <b/>
      <sz val="10"/>
      <color theme="1"/>
      <name val="Nunito Sans Normal"/>
    </font>
    <font>
      <sz val="10"/>
      <color theme="0"/>
      <name val="Nunito Sans Normal"/>
    </font>
    <font>
      <sz val="10"/>
      <color theme="2" tint="-0.249977111117893"/>
      <name val="Aptos"/>
      <family val="2"/>
    </font>
    <font>
      <i/>
      <sz val="9"/>
      <color theme="1"/>
      <name val="Aptos"/>
      <family val="2"/>
    </font>
    <font>
      <b/>
      <sz val="10"/>
      <color theme="2" tint="-0.249977111117893"/>
      <name val="Aptos"/>
      <family val="2"/>
    </font>
    <font>
      <b/>
      <sz val="10"/>
      <color theme="1" tint="0.499984740745262"/>
      <name val="Aptos"/>
      <family val="2"/>
    </font>
    <font>
      <sz val="10"/>
      <color theme="1" tint="0.499984740745262"/>
      <name val="Aptos"/>
      <family val="2"/>
    </font>
    <font>
      <b/>
      <sz val="10"/>
      <color theme="0" tint="-0.499984740745262"/>
      <name val="Aptos"/>
      <family val="2"/>
    </font>
    <font>
      <b/>
      <sz val="10"/>
      <color rgb="FFFF0000"/>
      <name val="Aptos"/>
      <family val="2"/>
    </font>
    <font>
      <sz val="12"/>
      <color rgb="FFFF0000"/>
      <name val="Aptos"/>
      <family val="2"/>
    </font>
    <font>
      <i/>
      <sz val="10"/>
      <color theme="2" tint="-0.249977111117893"/>
      <name val="Aptos"/>
      <family val="2"/>
    </font>
    <font>
      <sz val="10"/>
      <color rgb="FF093D33"/>
      <name val="Merriweather Black 18pt"/>
    </font>
    <font>
      <b/>
      <sz val="11"/>
      <color rgb="FF093D33"/>
      <name val="Aptos"/>
      <family val="2"/>
    </font>
    <font>
      <sz val="11"/>
      <color rgb="FF000000"/>
      <name val="Aptos Narrow"/>
      <family val="2"/>
    </font>
    <font>
      <sz val="9"/>
      <color theme="1"/>
      <name val="Aptos"/>
      <family val="2"/>
    </font>
    <font>
      <sz val="10"/>
      <color theme="1"/>
      <name val="Aptos "/>
    </font>
    <font>
      <b/>
      <sz val="10"/>
      <color theme="1"/>
      <name val="Aptos "/>
    </font>
    <font>
      <b/>
      <sz val="10"/>
      <color rgb="FF4C7A71"/>
      <name val="Aptos"/>
      <family val="2"/>
    </font>
    <font>
      <i/>
      <sz val="10"/>
      <color rgb="FFFF0000"/>
      <name val="Aptos"/>
      <family val="2"/>
    </font>
    <font>
      <i/>
      <sz val="8"/>
      <color theme="1"/>
      <name val="Aptos"/>
      <family val="2"/>
    </font>
    <font>
      <i/>
      <sz val="10"/>
      <color rgb="FF285B52"/>
      <name val="Aptos"/>
      <family val="2"/>
    </font>
    <font>
      <sz val="11"/>
      <color rgb="FF093D33"/>
      <name val="Aptos"/>
      <family val="2"/>
    </font>
    <font>
      <b/>
      <sz val="10"/>
      <color rgb="FF093D33"/>
      <name val="Aptos"/>
      <family val="2"/>
    </font>
    <font>
      <sz val="9"/>
      <color theme="0"/>
      <name val="Aptos"/>
      <family val="2"/>
    </font>
    <font>
      <sz val="10"/>
      <color theme="1"/>
      <name val="Merriweather 24pt SemiCondensed"/>
    </font>
    <font>
      <u/>
      <sz val="9"/>
      <color rgb="FF32C097"/>
      <name val="Merriweather Black 18pt"/>
    </font>
    <font>
      <b/>
      <i/>
      <sz val="16"/>
      <color rgb="FF093D33"/>
      <name val="Nunito Sans Normal"/>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4.9989318521683403E-2"/>
        <bgColor indexed="64"/>
      </patternFill>
    </fill>
    <fill>
      <patternFill patternType="solid">
        <fgColor theme="0"/>
        <bgColor indexed="64"/>
      </patternFill>
    </fill>
    <fill>
      <patternFill patternType="solid">
        <fgColor rgb="FFF7F8F7"/>
        <bgColor indexed="64"/>
      </patternFill>
    </fill>
    <fill>
      <patternFill patternType="solid">
        <fgColor rgb="FF093D33"/>
        <bgColor indexed="64"/>
      </patternFill>
    </fill>
    <fill>
      <patternFill patternType="solid">
        <fgColor rgb="FFCBECE3"/>
        <bgColor indexed="64"/>
      </patternFill>
    </fill>
  </fills>
  <borders count="3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medium">
        <color indexed="64"/>
      </left>
      <right style="medium">
        <color indexed="64"/>
      </right>
      <top/>
      <bottom style="medium">
        <color indexed="64"/>
      </bottom>
      <diagonal/>
    </border>
    <border>
      <left style="medium">
        <color rgb="FF2CA884"/>
      </left>
      <right/>
      <top style="medium">
        <color rgb="FF2CA884"/>
      </top>
      <bottom/>
      <diagonal/>
    </border>
    <border>
      <left/>
      <right/>
      <top style="medium">
        <color rgb="FF2CA884"/>
      </top>
      <bottom/>
      <diagonal/>
    </border>
    <border>
      <left/>
      <right style="medium">
        <color rgb="FF2CA884"/>
      </right>
      <top style="medium">
        <color rgb="FF2CA884"/>
      </top>
      <bottom/>
      <diagonal/>
    </border>
    <border>
      <left style="medium">
        <color rgb="FF2CA884"/>
      </left>
      <right/>
      <top/>
      <bottom/>
      <diagonal/>
    </border>
    <border>
      <left/>
      <right style="medium">
        <color rgb="FF2CA884"/>
      </right>
      <top/>
      <bottom/>
      <diagonal/>
    </border>
    <border>
      <left style="medium">
        <color rgb="FF2CA884"/>
      </left>
      <right/>
      <top style="thin">
        <color indexed="64"/>
      </top>
      <bottom style="double">
        <color indexed="64"/>
      </bottom>
      <diagonal/>
    </border>
    <border>
      <left/>
      <right/>
      <top style="thin">
        <color indexed="64"/>
      </top>
      <bottom style="double">
        <color indexed="64"/>
      </bottom>
      <diagonal/>
    </border>
    <border>
      <left/>
      <right style="medium">
        <color rgb="FF2CA884"/>
      </right>
      <top style="thin">
        <color indexed="64"/>
      </top>
      <bottom style="double">
        <color indexed="64"/>
      </bottom>
      <diagonal/>
    </border>
    <border>
      <left/>
      <right/>
      <top style="thin">
        <color theme="0"/>
      </top>
      <bottom style="thin">
        <color theme="0"/>
      </bottom>
      <diagonal/>
    </border>
    <border>
      <left style="thin">
        <color theme="0"/>
      </left>
      <right style="thin">
        <color theme="0"/>
      </right>
      <top style="thin">
        <color theme="0"/>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ck">
        <color rgb="FF093D33"/>
      </left>
      <right style="thick">
        <color rgb="FF093D33"/>
      </right>
      <top style="thick">
        <color rgb="FF093D33"/>
      </top>
      <bottom style="thick">
        <color rgb="FF093D33"/>
      </bottom>
      <diagonal/>
    </border>
  </borders>
  <cellStyleXfs count="46">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32" fillId="0" borderId="0" applyNumberFormat="0" applyFill="0" applyBorder="0" applyAlignment="0" applyProtection="0"/>
  </cellStyleXfs>
  <cellXfs count="272">
    <xf numFmtId="0" fontId="0" fillId="0" borderId="0" xfId="0"/>
    <xf numFmtId="6" fontId="0" fillId="0" borderId="0" xfId="0" applyNumberFormat="1"/>
    <xf numFmtId="14" fontId="0" fillId="0" borderId="0" xfId="0" applyNumberFormat="1"/>
    <xf numFmtId="9" fontId="0" fillId="0" borderId="0" xfId="0" applyNumberFormat="1"/>
    <xf numFmtId="0" fontId="16" fillId="0" borderId="0" xfId="0" applyFont="1"/>
    <xf numFmtId="0" fontId="14" fillId="0" borderId="0" xfId="0" applyFont="1"/>
    <xf numFmtId="0" fontId="16" fillId="0" borderId="0" xfId="0" applyFont="1" applyAlignment="1">
      <alignment horizontal="center"/>
    </xf>
    <xf numFmtId="17" fontId="0" fillId="0" borderId="0" xfId="0" applyNumberFormat="1"/>
    <xf numFmtId="17" fontId="16" fillId="0" borderId="0" xfId="0" applyNumberFormat="1" applyFont="1" applyAlignment="1">
      <alignment horizontal="center"/>
    </xf>
    <xf numFmtId="0" fontId="16" fillId="0" borderId="0" xfId="0" applyFont="1" applyAlignment="1">
      <alignment horizontal="center" vertical="center" wrapText="1"/>
    </xf>
    <xf numFmtId="0" fontId="16" fillId="0" borderId="0" xfId="0" applyFont="1" applyAlignment="1">
      <alignment horizontal="center" vertical="center"/>
    </xf>
    <xf numFmtId="164" fontId="0" fillId="0" borderId="0" xfId="1" applyNumberFormat="1" applyFont="1"/>
    <xf numFmtId="0" fontId="20" fillId="0" borderId="0" xfId="0" applyFont="1"/>
    <xf numFmtId="9" fontId="16" fillId="0" borderId="0" xfId="0" applyNumberFormat="1" applyFont="1"/>
    <xf numFmtId="9" fontId="16" fillId="33" borderId="0" xfId="0" applyNumberFormat="1" applyFont="1" applyFill="1" applyAlignment="1">
      <alignment horizontal="center"/>
    </xf>
    <xf numFmtId="0" fontId="21" fillId="36" borderId="0" xfId="0" applyFont="1" applyFill="1" applyAlignment="1">
      <alignment horizontal="left"/>
    </xf>
    <xf numFmtId="0" fontId="22" fillId="0" borderId="0" xfId="0" applyFont="1" applyAlignment="1">
      <alignment horizontal="right"/>
    </xf>
    <xf numFmtId="0" fontId="18" fillId="0" borderId="0" xfId="0" applyFont="1" applyAlignment="1">
      <alignment horizontal="right"/>
    </xf>
    <xf numFmtId="0" fontId="26" fillId="34" borderId="0" xfId="0" applyFont="1" applyFill="1" applyAlignment="1">
      <alignment horizontal="left"/>
    </xf>
    <xf numFmtId="0" fontId="28" fillId="0" borderId="0" xfId="0" applyFont="1" applyAlignment="1">
      <alignment horizontal="right"/>
    </xf>
    <xf numFmtId="17" fontId="18" fillId="0" borderId="0" xfId="0" applyNumberFormat="1" applyFont="1" applyAlignment="1">
      <alignment horizontal="center"/>
    </xf>
    <xf numFmtId="9" fontId="0" fillId="33" borderId="16" xfId="3" applyFont="1" applyFill="1" applyBorder="1"/>
    <xf numFmtId="166" fontId="23" fillId="33" borderId="10" xfId="2" applyNumberFormat="1" applyFont="1" applyFill="1" applyBorder="1"/>
    <xf numFmtId="0" fontId="28" fillId="34" borderId="0" xfId="0" applyFont="1" applyFill="1"/>
    <xf numFmtId="0" fontId="24" fillId="0" borderId="0" xfId="0" applyFont="1"/>
    <xf numFmtId="0" fontId="28" fillId="0" borderId="0" xfId="0" applyFont="1" applyAlignment="1">
      <alignment horizontal="right" vertical="center"/>
    </xf>
    <xf numFmtId="0" fontId="24" fillId="0" borderId="0" xfId="0" applyFont="1" applyAlignment="1">
      <alignment vertical="center" wrapText="1"/>
    </xf>
    <xf numFmtId="0" fontId="24" fillId="0" borderId="0" xfId="0" applyFont="1" applyAlignment="1">
      <alignment vertical="center"/>
    </xf>
    <xf numFmtId="0" fontId="24" fillId="0" borderId="0" xfId="0" applyFont="1" applyAlignment="1">
      <alignment vertical="top" wrapText="1"/>
    </xf>
    <xf numFmtId="0" fontId="24" fillId="0" borderId="0" xfId="0" applyFont="1" applyAlignment="1">
      <alignment horizontal="left" vertical="top" wrapText="1"/>
    </xf>
    <xf numFmtId="0" fontId="29" fillId="0" borderId="0" xfId="0" applyFont="1" applyAlignment="1">
      <alignment horizontal="right"/>
    </xf>
    <xf numFmtId="0" fontId="18" fillId="37" borderId="0" xfId="0" applyFont="1" applyFill="1" applyAlignment="1">
      <alignment horizontal="center" vertical="center"/>
    </xf>
    <xf numFmtId="0" fontId="18" fillId="37" borderId="0" xfId="0" applyFont="1" applyFill="1" applyAlignment="1">
      <alignment horizontal="center" vertical="center" wrapText="1"/>
    </xf>
    <xf numFmtId="17" fontId="18" fillId="37" borderId="0" xfId="0" applyNumberFormat="1" applyFont="1" applyFill="1" applyAlignment="1">
      <alignment horizontal="center" vertical="center" wrapText="1"/>
    </xf>
    <xf numFmtId="0" fontId="0" fillId="0" borderId="0" xfId="0" applyAlignment="1">
      <alignment horizontal="center" vertical="center"/>
    </xf>
    <xf numFmtId="0" fontId="31" fillId="0" borderId="0" xfId="0" applyFont="1"/>
    <xf numFmtId="0" fontId="33" fillId="34" borderId="0" xfId="0" applyFont="1" applyFill="1" applyAlignment="1">
      <alignment horizontal="left"/>
    </xf>
    <xf numFmtId="0" fontId="34" fillId="0" borderId="0" xfId="0" applyFont="1" applyAlignment="1">
      <alignment horizontal="center" vertical="center"/>
    </xf>
    <xf numFmtId="0" fontId="34" fillId="0" borderId="0" xfId="0" applyFont="1"/>
    <xf numFmtId="0" fontId="35" fillId="34" borderId="0" xfId="0" applyFont="1" applyFill="1" applyAlignment="1">
      <alignment horizontal="left"/>
    </xf>
    <xf numFmtId="0" fontId="0" fillId="0" borderId="11" xfId="3" applyNumberFormat="1" applyFont="1" applyBorder="1" applyAlignment="1">
      <alignment vertical="center"/>
    </xf>
    <xf numFmtId="164" fontId="0" fillId="0" borderId="11" xfId="1" applyNumberFormat="1" applyFont="1" applyBorder="1" applyAlignment="1">
      <alignment horizontal="center" vertical="center"/>
    </xf>
    <xf numFmtId="0" fontId="36" fillId="0" borderId="0" xfId="0" applyFont="1"/>
    <xf numFmtId="0" fontId="37" fillId="0" borderId="0" xfId="0" applyFont="1"/>
    <xf numFmtId="0" fontId="38" fillId="0" borderId="0" xfId="0" applyFont="1"/>
    <xf numFmtId="164" fontId="16" fillId="0" borderId="0" xfId="0" applyNumberFormat="1" applyFont="1"/>
    <xf numFmtId="0" fontId="39" fillId="34" borderId="0" xfId="0" applyFont="1" applyFill="1"/>
    <xf numFmtId="0" fontId="40" fillId="0" borderId="0" xfId="0" applyFont="1"/>
    <xf numFmtId="0" fontId="41" fillId="0" borderId="0" xfId="0" applyFont="1"/>
    <xf numFmtId="0" fontId="40" fillId="0" borderId="0" xfId="0" applyFont="1" applyAlignment="1">
      <alignment vertical="top" wrapText="1"/>
    </xf>
    <xf numFmtId="0" fontId="40" fillId="0" borderId="0" xfId="0" applyFont="1" applyAlignment="1">
      <alignment horizontal="left" vertical="top" wrapText="1"/>
    </xf>
    <xf numFmtId="0" fontId="42" fillId="0" borderId="0" xfId="0" applyFont="1"/>
    <xf numFmtId="0" fontId="43" fillId="0" borderId="0" xfId="0" applyFont="1"/>
    <xf numFmtId="0" fontId="44" fillId="0" borderId="0" xfId="0" applyFont="1"/>
    <xf numFmtId="0" fontId="45" fillId="0" borderId="0" xfId="45" applyFont="1"/>
    <xf numFmtId="0" fontId="45" fillId="0" borderId="0" xfId="0" applyFont="1"/>
    <xf numFmtId="0" fontId="46" fillId="0" borderId="0" xfId="0" applyFont="1"/>
    <xf numFmtId="44" fontId="48" fillId="36" borderId="0" xfId="2" applyFont="1" applyFill="1" applyBorder="1"/>
    <xf numFmtId="0" fontId="48" fillId="36" borderId="0" xfId="0" applyFont="1" applyFill="1"/>
    <xf numFmtId="9" fontId="48" fillId="36" borderId="0" xfId="3" applyFont="1" applyFill="1" applyBorder="1"/>
    <xf numFmtId="0" fontId="48" fillId="36" borderId="0" xfId="0" applyFont="1" applyFill="1" applyAlignment="1">
      <alignment horizontal="center" vertical="center"/>
    </xf>
    <xf numFmtId="164" fontId="48" fillId="36" borderId="0" xfId="1" applyNumberFormat="1" applyFont="1" applyFill="1" applyBorder="1"/>
    <xf numFmtId="0" fontId="46" fillId="0" borderId="13" xfId="0" applyFont="1" applyBorder="1"/>
    <xf numFmtId="0" fontId="46" fillId="0" borderId="11" xfId="0" applyFont="1" applyBorder="1"/>
    <xf numFmtId="44" fontId="48" fillId="34" borderId="0" xfId="2" applyFont="1" applyFill="1" applyBorder="1"/>
    <xf numFmtId="0" fontId="48" fillId="34" borderId="0" xfId="0" applyFont="1" applyFill="1"/>
    <xf numFmtId="9" fontId="48" fillId="34" borderId="0" xfId="3" applyFont="1" applyFill="1" applyBorder="1"/>
    <xf numFmtId="0" fontId="48" fillId="34" borderId="0" xfId="0" applyFont="1" applyFill="1" applyAlignment="1">
      <alignment horizontal="center" vertical="center"/>
    </xf>
    <xf numFmtId="164" fontId="48" fillId="34" borderId="0" xfId="1" applyNumberFormat="1" applyFont="1" applyFill="1" applyBorder="1"/>
    <xf numFmtId="0" fontId="46" fillId="34" borderId="13" xfId="0" applyFont="1" applyFill="1" applyBorder="1"/>
    <xf numFmtId="0" fontId="46" fillId="34" borderId="11" xfId="0" applyFont="1" applyFill="1" applyBorder="1"/>
    <xf numFmtId="9" fontId="46" fillId="0" borderId="11" xfId="3" applyFont="1" applyFill="1" applyBorder="1"/>
    <xf numFmtId="0" fontId="47" fillId="0" borderId="11" xfId="0" applyFont="1" applyBorder="1"/>
    <xf numFmtId="44" fontId="46" fillId="0" borderId="11" xfId="2" applyFont="1" applyFill="1" applyBorder="1"/>
    <xf numFmtId="9" fontId="46" fillId="0" borderId="11" xfId="3" applyFont="1" applyBorder="1"/>
    <xf numFmtId="0" fontId="46" fillId="0" borderId="11" xfId="0" applyFont="1" applyBorder="1" applyAlignment="1">
      <alignment horizontal="center" vertical="center"/>
    </xf>
    <xf numFmtId="164" fontId="46" fillId="0" borderId="11" xfId="1" applyNumberFormat="1" applyFont="1" applyFill="1" applyBorder="1"/>
    <xf numFmtId="0" fontId="30" fillId="0" borderId="0" xfId="0" applyFont="1" applyAlignment="1">
      <alignment horizontal="left"/>
    </xf>
    <xf numFmtId="0" fontId="23" fillId="0" borderId="0" xfId="0" applyFont="1"/>
    <xf numFmtId="9" fontId="23" fillId="0" borderId="0" xfId="0" applyNumberFormat="1" applyFont="1"/>
    <xf numFmtId="6" fontId="23" fillId="0" borderId="0" xfId="0" applyNumberFormat="1" applyFont="1"/>
    <xf numFmtId="0" fontId="49" fillId="0" borderId="0" xfId="0" applyFont="1"/>
    <xf numFmtId="0" fontId="0" fillId="0" borderId="0" xfId="0" applyAlignment="1">
      <alignment vertical="center"/>
    </xf>
    <xf numFmtId="0" fontId="22" fillId="0" borderId="0" xfId="0" applyFont="1"/>
    <xf numFmtId="14" fontId="16" fillId="33" borderId="0" xfId="0" applyNumberFormat="1" applyFont="1" applyFill="1" applyAlignment="1">
      <alignment horizontal="center" vertical="center"/>
    </xf>
    <xf numFmtId="0" fontId="18" fillId="0" borderId="20" xfId="0" applyFont="1" applyBorder="1" applyAlignment="1">
      <alignment horizontal="center"/>
    </xf>
    <xf numFmtId="17" fontId="51" fillId="0" borderId="0" xfId="0" applyNumberFormat="1" applyFont="1" applyAlignment="1">
      <alignment horizontal="center"/>
    </xf>
    <xf numFmtId="17" fontId="18" fillId="0" borderId="21" xfId="0" applyNumberFormat="1" applyFont="1" applyBorder="1" applyAlignment="1">
      <alignment horizontal="center"/>
    </xf>
    <xf numFmtId="0" fontId="52" fillId="0" borderId="20" xfId="0" applyFont="1" applyBorder="1" applyAlignment="1">
      <alignment horizontal="left"/>
    </xf>
    <xf numFmtId="164" fontId="53" fillId="0" borderId="0" xfId="1" applyNumberFormat="1" applyFont="1" applyBorder="1"/>
    <xf numFmtId="164" fontId="49" fillId="0" borderId="0" xfId="1" applyNumberFormat="1" applyFont="1" applyBorder="1"/>
    <xf numFmtId="164" fontId="54" fillId="0" borderId="21" xfId="1" applyNumberFormat="1" applyFont="1" applyBorder="1" applyAlignment="1">
      <alignment horizontal="center"/>
    </xf>
    <xf numFmtId="0" fontId="0" fillId="0" borderId="0" xfId="0" applyAlignment="1">
      <alignment horizontal="right"/>
    </xf>
    <xf numFmtId="166" fontId="0" fillId="33" borderId="10" xfId="2" applyNumberFormat="1" applyFont="1" applyFill="1" applyBorder="1"/>
    <xf numFmtId="0" fontId="23" fillId="0" borderId="20" xfId="0" applyFont="1" applyBorder="1"/>
    <xf numFmtId="164" fontId="23" fillId="0" borderId="0" xfId="1" applyNumberFormat="1" applyFont="1" applyBorder="1"/>
    <xf numFmtId="164" fontId="23" fillId="0" borderId="21" xfId="1" applyNumberFormat="1" applyFont="1" applyBorder="1"/>
    <xf numFmtId="0" fontId="55" fillId="0" borderId="0" xfId="0" applyFont="1"/>
    <xf numFmtId="0" fontId="18" fillId="0" borderId="20" xfId="0" applyFont="1" applyBorder="1"/>
    <xf numFmtId="0" fontId="22" fillId="0" borderId="22" xfId="0" applyFont="1" applyBorder="1"/>
    <xf numFmtId="164" fontId="22" fillId="0" borderId="23" xfId="1" applyNumberFormat="1" applyFont="1" applyBorder="1"/>
    <xf numFmtId="164" fontId="51" fillId="0" borderId="23" xfId="1" applyNumberFormat="1" applyFont="1" applyBorder="1"/>
    <xf numFmtId="164" fontId="22" fillId="0" borderId="24" xfId="1" applyNumberFormat="1" applyFont="1" applyBorder="1"/>
    <xf numFmtId="0" fontId="18" fillId="0" borderId="0" xfId="0" applyFont="1"/>
    <xf numFmtId="43" fontId="23" fillId="0" borderId="0" xfId="1" applyFont="1"/>
    <xf numFmtId="43" fontId="49" fillId="0" borderId="0" xfId="1" applyFont="1"/>
    <xf numFmtId="43" fontId="23" fillId="0" borderId="0" xfId="0" applyNumberFormat="1" applyFont="1"/>
    <xf numFmtId="0" fontId="56" fillId="34" borderId="0" xfId="0" applyFont="1" applyFill="1" applyAlignment="1">
      <alignment horizontal="left"/>
    </xf>
    <xf numFmtId="17" fontId="51" fillId="34" borderId="0" xfId="0" applyNumberFormat="1" applyFont="1" applyFill="1" applyAlignment="1">
      <alignment horizontal="center"/>
    </xf>
    <xf numFmtId="1" fontId="0" fillId="33" borderId="10" xfId="0" applyNumberFormat="1" applyFill="1" applyBorder="1"/>
    <xf numFmtId="43" fontId="0" fillId="0" borderId="0" xfId="0" applyNumberFormat="1"/>
    <xf numFmtId="43" fontId="49" fillId="0" borderId="0" xfId="0" applyNumberFormat="1" applyFont="1"/>
    <xf numFmtId="0" fontId="0" fillId="0" borderId="0" xfId="0" applyAlignment="1">
      <alignment horizontal="left"/>
    </xf>
    <xf numFmtId="0" fontId="57" fillId="0" borderId="0" xfId="0" applyFont="1" applyAlignment="1">
      <alignment horizontal="right"/>
    </xf>
    <xf numFmtId="0" fontId="58" fillId="34" borderId="0" xfId="0" applyFont="1" applyFill="1" applyAlignment="1">
      <alignment horizontal="left"/>
    </xf>
    <xf numFmtId="0" fontId="16" fillId="0" borderId="0" xfId="0" applyFont="1" applyAlignment="1">
      <alignment horizontal="left"/>
    </xf>
    <xf numFmtId="0" fontId="18" fillId="0" borderId="30" xfId="0" applyFont="1" applyBorder="1" applyAlignment="1">
      <alignment horizontal="center"/>
    </xf>
    <xf numFmtId="17" fontId="18" fillId="0" borderId="31" xfId="0" applyNumberFormat="1" applyFont="1" applyBorder="1" applyAlignment="1">
      <alignment horizontal="center"/>
    </xf>
    <xf numFmtId="0" fontId="52" fillId="0" borderId="30" xfId="0" applyFont="1" applyBorder="1" applyAlignment="1">
      <alignment horizontal="left"/>
    </xf>
    <xf numFmtId="164" fontId="54" fillId="0" borderId="31" xfId="1" applyNumberFormat="1" applyFont="1" applyBorder="1" applyAlignment="1">
      <alignment horizontal="center"/>
    </xf>
    <xf numFmtId="0" fontId="18" fillId="0" borderId="30" xfId="0" applyFont="1" applyBorder="1"/>
    <xf numFmtId="164" fontId="23" fillId="0" borderId="31" xfId="1" applyNumberFormat="1" applyFont="1" applyBorder="1"/>
    <xf numFmtId="0" fontId="23" fillId="0" borderId="30" xfId="0" applyFont="1" applyBorder="1"/>
    <xf numFmtId="0" fontId="18" fillId="0" borderId="32" xfId="0" applyFont="1" applyBorder="1"/>
    <xf numFmtId="164" fontId="23" fillId="0" borderId="33" xfId="1" applyNumberFormat="1" applyFont="1" applyBorder="1"/>
    <xf numFmtId="164" fontId="49" fillId="0" borderId="33" xfId="1" applyNumberFormat="1" applyFont="1" applyBorder="1"/>
    <xf numFmtId="164" fontId="18" fillId="0" borderId="34" xfId="1" applyNumberFormat="1" applyFont="1" applyBorder="1"/>
    <xf numFmtId="9" fontId="18" fillId="0" borderId="31" xfId="3" applyFont="1" applyBorder="1"/>
    <xf numFmtId="0" fontId="60" fillId="0" borderId="0" xfId="0" applyFont="1"/>
    <xf numFmtId="0" fontId="0" fillId="0" borderId="0" xfId="0" applyAlignment="1">
      <alignment horizontal="center"/>
    </xf>
    <xf numFmtId="166" fontId="0" fillId="37" borderId="35" xfId="2" applyNumberFormat="1" applyFont="1" applyFill="1" applyBorder="1"/>
    <xf numFmtId="9" fontId="18" fillId="37" borderId="35" xfId="3" applyFont="1" applyFill="1" applyBorder="1"/>
    <xf numFmtId="9" fontId="23" fillId="37" borderId="35" xfId="3" applyFont="1" applyFill="1" applyBorder="1"/>
    <xf numFmtId="1" fontId="0" fillId="37" borderId="35" xfId="2" applyNumberFormat="1" applyFont="1" applyFill="1" applyBorder="1"/>
    <xf numFmtId="165" fontId="61" fillId="35" borderId="15" xfId="2" applyNumberFormat="1" applyFont="1" applyFill="1" applyBorder="1"/>
    <xf numFmtId="168" fontId="0" fillId="35" borderId="11" xfId="2" applyNumberFormat="1" applyFont="1" applyFill="1" applyBorder="1" applyAlignment="1">
      <alignment vertical="center" wrapText="1"/>
    </xf>
    <xf numFmtId="9" fontId="0" fillId="35" borderId="0" xfId="0" applyNumberFormat="1" applyFill="1"/>
    <xf numFmtId="0" fontId="0" fillId="33" borderId="0" xfId="0" applyFill="1"/>
    <xf numFmtId="0" fontId="62" fillId="0" borderId="11" xfId="0" applyFont="1" applyBorder="1"/>
    <xf numFmtId="9" fontId="62" fillId="0" borderId="11" xfId="3" applyFont="1" applyFill="1" applyBorder="1"/>
    <xf numFmtId="0" fontId="63" fillId="0" borderId="11" xfId="0" applyFont="1" applyBorder="1"/>
    <xf numFmtId="44" fontId="62" fillId="0" borderId="11" xfId="2" applyFont="1" applyFill="1" applyBorder="1"/>
    <xf numFmtId="0" fontId="62" fillId="0" borderId="11" xfId="0" applyFont="1" applyBorder="1" applyAlignment="1">
      <alignment horizontal="center" vertical="center"/>
    </xf>
    <xf numFmtId="164" fontId="62" fillId="0" borderId="11" xfId="1" applyNumberFormat="1" applyFont="1" applyFill="1" applyBorder="1"/>
    <xf numFmtId="0" fontId="0" fillId="0" borderId="11" xfId="0" applyBorder="1"/>
    <xf numFmtId="44" fontId="0" fillId="0" borderId="11" xfId="2" applyFont="1" applyFill="1" applyBorder="1"/>
    <xf numFmtId="9" fontId="0" fillId="0" borderId="11" xfId="3" applyFont="1" applyBorder="1"/>
    <xf numFmtId="0" fontId="0" fillId="0" borderId="11" xfId="0" applyBorder="1" applyAlignment="1">
      <alignment horizontal="center" vertical="center"/>
    </xf>
    <xf numFmtId="9" fontId="0" fillId="0" borderId="11" xfId="3" applyFont="1" applyFill="1" applyBorder="1"/>
    <xf numFmtId="164" fontId="0" fillId="0" borderId="11" xfId="1" applyNumberFormat="1" applyFont="1" applyFill="1" applyBorder="1"/>
    <xf numFmtId="0" fontId="0" fillId="0" borderId="11" xfId="0" applyBorder="1" applyAlignment="1">
      <alignment vertical="center" wrapText="1"/>
    </xf>
    <xf numFmtId="0" fontId="16" fillId="0" borderId="11" xfId="0" applyFont="1" applyBorder="1" applyAlignment="1">
      <alignment vertical="center" wrapText="1"/>
    </xf>
    <xf numFmtId="0" fontId="16" fillId="0" borderId="11" xfId="0" applyFont="1" applyBorder="1" applyAlignment="1">
      <alignment horizontal="center" vertical="center" wrapText="1"/>
    </xf>
    <xf numFmtId="9" fontId="64" fillId="0" borderId="11" xfId="3" applyFont="1" applyFill="1" applyBorder="1" applyAlignment="1">
      <alignment vertical="center" wrapText="1"/>
    </xf>
    <xf numFmtId="164" fontId="16" fillId="0" borderId="11" xfId="1" applyNumberFormat="1" applyFont="1" applyFill="1" applyBorder="1" applyAlignment="1">
      <alignment horizontal="center" vertical="center" wrapText="1"/>
    </xf>
    <xf numFmtId="164" fontId="22" fillId="0" borderId="11" xfId="1" applyNumberFormat="1" applyFont="1" applyFill="1" applyBorder="1" applyAlignment="1">
      <alignment horizontal="center" vertical="center" wrapText="1"/>
    </xf>
    <xf numFmtId="9" fontId="0" fillId="35" borderId="11" xfId="3" applyFont="1" applyFill="1" applyBorder="1"/>
    <xf numFmtId="168" fontId="0" fillId="34" borderId="11" xfId="2" applyNumberFormat="1" applyFont="1" applyFill="1" applyBorder="1" applyAlignment="1">
      <alignment vertical="center" wrapText="1"/>
    </xf>
    <xf numFmtId="164" fontId="0" fillId="34" borderId="11" xfId="1" applyNumberFormat="1" applyFont="1" applyFill="1" applyBorder="1" applyAlignment="1">
      <alignment vertical="center" wrapText="1"/>
    </xf>
    <xf numFmtId="0" fontId="0" fillId="34" borderId="11" xfId="2" applyNumberFormat="1" applyFont="1" applyFill="1" applyBorder="1" applyAlignment="1">
      <alignment vertical="center" wrapText="1"/>
    </xf>
    <xf numFmtId="164" fontId="0" fillId="0" borderId="11" xfId="1" applyNumberFormat="1" applyFont="1" applyFill="1" applyBorder="1" applyAlignment="1">
      <alignment horizontal="center" vertical="center"/>
    </xf>
    <xf numFmtId="0" fontId="16" fillId="0" borderId="11" xfId="0" applyFont="1" applyBorder="1" applyAlignment="1">
      <alignment horizontal="center" vertical="center"/>
    </xf>
    <xf numFmtId="168" fontId="16" fillId="0" borderId="11" xfId="0" applyNumberFormat="1" applyFont="1" applyBorder="1" applyAlignment="1">
      <alignment horizontal="center" vertical="center"/>
    </xf>
    <xf numFmtId="0" fontId="64" fillId="0" borderId="15" xfId="0" applyFont="1" applyBorder="1"/>
    <xf numFmtId="44" fontId="0" fillId="0" borderId="15" xfId="2" applyFont="1" applyFill="1" applyBorder="1"/>
    <xf numFmtId="0" fontId="64" fillId="0" borderId="11" xfId="0" applyFont="1" applyBorder="1"/>
    <xf numFmtId="164" fontId="16" fillId="0" borderId="11" xfId="1" applyNumberFormat="1" applyFont="1" applyFill="1" applyBorder="1"/>
    <xf numFmtId="9" fontId="16" fillId="0" borderId="11" xfId="3" applyFont="1" applyFill="1" applyBorder="1" applyAlignment="1">
      <alignment horizontal="center"/>
    </xf>
    <xf numFmtId="9" fontId="0" fillId="0" borderId="15" xfId="3" applyFont="1" applyBorder="1"/>
    <xf numFmtId="0" fontId="0" fillId="0" borderId="15" xfId="0" applyBorder="1"/>
    <xf numFmtId="0" fontId="0" fillId="0" borderId="15" xfId="0" applyBorder="1" applyAlignment="1">
      <alignment horizontal="center" vertical="center"/>
    </xf>
    <xf numFmtId="9" fontId="0" fillId="0" borderId="15" xfId="3" applyFont="1" applyFill="1" applyBorder="1"/>
    <xf numFmtId="164" fontId="0" fillId="0" borderId="15" xfId="1" applyNumberFormat="1" applyFont="1" applyFill="1" applyBorder="1"/>
    <xf numFmtId="0" fontId="0" fillId="0" borderId="14" xfId="0" applyBorder="1"/>
    <xf numFmtId="165" fontId="0" fillId="0" borderId="11" xfId="2" applyNumberFormat="1" applyFont="1" applyFill="1" applyBorder="1"/>
    <xf numFmtId="0" fontId="16" fillId="0" borderId="11" xfId="0" applyFont="1" applyBorder="1" applyAlignment="1">
      <alignment horizontal="left" vertical="center" wrapText="1"/>
    </xf>
    <xf numFmtId="9" fontId="66" fillId="0" borderId="11" xfId="3" applyFont="1" applyBorder="1" applyAlignment="1">
      <alignment vertical="center"/>
    </xf>
    <xf numFmtId="0" fontId="0" fillId="0" borderId="12" xfId="0" applyBorder="1" applyAlignment="1">
      <alignment vertical="center" wrapText="1"/>
    </xf>
    <xf numFmtId="165" fontId="0" fillId="35" borderId="10" xfId="2" applyNumberFormat="1" applyFont="1" applyFill="1" applyBorder="1" applyAlignment="1">
      <alignment vertical="center" wrapText="1"/>
    </xf>
    <xf numFmtId="165" fontId="67" fillId="0" borderId="13" xfId="2" applyNumberFormat="1" applyFont="1" applyFill="1" applyBorder="1" applyAlignment="1">
      <alignment vertical="center" wrapText="1"/>
    </xf>
    <xf numFmtId="165" fontId="0" fillId="0" borderId="11" xfId="2" applyNumberFormat="1" applyFont="1" applyFill="1" applyBorder="1" applyAlignment="1">
      <alignment vertical="center" wrapText="1"/>
    </xf>
    <xf numFmtId="9" fontId="0" fillId="0" borderId="11" xfId="3" applyFont="1" applyFill="1" applyBorder="1" applyAlignment="1">
      <alignment vertical="center" wrapText="1"/>
    </xf>
    <xf numFmtId="169" fontId="16" fillId="35" borderId="15" xfId="2" applyNumberFormat="1" applyFont="1" applyFill="1" applyBorder="1"/>
    <xf numFmtId="167" fontId="0" fillId="0" borderId="11" xfId="2" applyNumberFormat="1" applyFont="1" applyFill="1" applyBorder="1"/>
    <xf numFmtId="0" fontId="16" fillId="0" borderId="11" xfId="0" applyFont="1" applyBorder="1"/>
    <xf numFmtId="164" fontId="0" fillId="33" borderId="11" xfId="1" applyNumberFormat="1" applyFont="1" applyFill="1" applyBorder="1"/>
    <xf numFmtId="0" fontId="0" fillId="34" borderId="11" xfId="2" applyNumberFormat="1" applyFont="1" applyFill="1" applyBorder="1"/>
    <xf numFmtId="0" fontId="16" fillId="34" borderId="11" xfId="2" applyNumberFormat="1" applyFont="1" applyFill="1" applyBorder="1"/>
    <xf numFmtId="168" fontId="16" fillId="35" borderId="11" xfId="2" applyNumberFormat="1" applyFont="1" applyFill="1" applyBorder="1" applyAlignment="1">
      <alignment vertical="center" wrapText="1"/>
    </xf>
    <xf numFmtId="9" fontId="16" fillId="0" borderId="11" xfId="3" applyFont="1" applyFill="1" applyBorder="1"/>
    <xf numFmtId="166" fontId="0" fillId="0" borderId="11" xfId="2" applyNumberFormat="1" applyFont="1" applyFill="1" applyBorder="1"/>
    <xf numFmtId="168" fontId="16" fillId="34" borderId="11" xfId="2" applyNumberFormat="1" applyFont="1" applyFill="1" applyBorder="1" applyAlignment="1">
      <alignment vertical="center" wrapText="1"/>
    </xf>
    <xf numFmtId="0" fontId="19" fillId="0" borderId="11" xfId="0" applyFont="1" applyBorder="1"/>
    <xf numFmtId="0" fontId="64" fillId="0" borderId="11" xfId="0" applyFont="1" applyBorder="1" applyAlignment="1">
      <alignment horizontal="left" vertical="center"/>
    </xf>
    <xf numFmtId="0" fontId="16" fillId="0" borderId="11" xfId="0" applyFont="1" applyBorder="1" applyAlignment="1">
      <alignment horizontal="center"/>
    </xf>
    <xf numFmtId="0" fontId="0" fillId="0" borderId="11" xfId="2" applyNumberFormat="1" applyFont="1" applyFill="1" applyBorder="1"/>
    <xf numFmtId="0" fontId="0" fillId="0" borderId="26" xfId="0" applyBorder="1"/>
    <xf numFmtId="0" fontId="16" fillId="0" borderId="15" xfId="0" applyFont="1" applyBorder="1"/>
    <xf numFmtId="9" fontId="16" fillId="0" borderId="15" xfId="3" applyFont="1" applyFill="1" applyBorder="1"/>
    <xf numFmtId="44" fontId="16" fillId="0" borderId="11" xfId="2" applyFont="1" applyFill="1" applyBorder="1"/>
    <xf numFmtId="44" fontId="16" fillId="0" borderId="11" xfId="2" applyFont="1" applyFill="1" applyBorder="1" applyAlignment="1">
      <alignment horizontal="center"/>
    </xf>
    <xf numFmtId="0" fontId="0" fillId="0" borderId="26" xfId="3" applyNumberFormat="1" applyFont="1" applyFill="1" applyBorder="1" applyAlignment="1"/>
    <xf numFmtId="9" fontId="0" fillId="0" borderId="26" xfId="3" applyFont="1" applyFill="1" applyBorder="1"/>
    <xf numFmtId="0" fontId="0" fillId="0" borderId="26" xfId="2" applyNumberFormat="1" applyFont="1" applyFill="1" applyBorder="1"/>
    <xf numFmtId="0" fontId="16" fillId="0" borderId="15" xfId="2" applyNumberFormat="1" applyFont="1" applyFill="1" applyBorder="1"/>
    <xf numFmtId="0" fontId="0" fillId="34" borderId="0" xfId="0" applyFill="1"/>
    <xf numFmtId="0" fontId="0" fillId="34" borderId="11" xfId="0" applyFill="1" applyBorder="1" applyAlignment="1">
      <alignment horizontal="center" vertical="center"/>
    </xf>
    <xf numFmtId="9" fontId="0" fillId="34" borderId="11" xfId="3" applyFont="1" applyFill="1" applyBorder="1"/>
    <xf numFmtId="0" fontId="0" fillId="34" borderId="11" xfId="0" applyFill="1" applyBorder="1"/>
    <xf numFmtId="164" fontId="0" fillId="34" borderId="11" xfId="1" applyNumberFormat="1" applyFont="1" applyFill="1" applyBorder="1"/>
    <xf numFmtId="9" fontId="0" fillId="33" borderId="11" xfId="3" applyFont="1" applyFill="1" applyBorder="1"/>
    <xf numFmtId="44" fontId="0" fillId="34" borderId="11" xfId="2" applyFont="1" applyFill="1" applyBorder="1" applyAlignment="1">
      <alignment vertical="center" wrapText="1"/>
    </xf>
    <xf numFmtId="166" fontId="0" fillId="34" borderId="11" xfId="2" applyNumberFormat="1" applyFont="1" applyFill="1" applyBorder="1" applyAlignment="1">
      <alignment vertical="center" wrapText="1"/>
    </xf>
    <xf numFmtId="0" fontId="27" fillId="0" borderId="0" xfId="0" applyFont="1" applyAlignment="1">
      <alignment horizontal="left"/>
    </xf>
    <xf numFmtId="0" fontId="28" fillId="0" borderId="0" xfId="0" applyFont="1" applyAlignment="1">
      <alignment horizontal="left"/>
    </xf>
    <xf numFmtId="0" fontId="24" fillId="0" borderId="0" xfId="0" applyFont="1" applyAlignment="1">
      <alignment horizontal="left"/>
    </xf>
    <xf numFmtId="0" fontId="29" fillId="0" borderId="0" xfId="0" applyFont="1" applyAlignment="1">
      <alignment horizontal="left"/>
    </xf>
    <xf numFmtId="164" fontId="0" fillId="34" borderId="0" xfId="1" applyNumberFormat="1" applyFont="1" applyFill="1"/>
    <xf numFmtId="0" fontId="68" fillId="34" borderId="0" xfId="0" applyFont="1" applyFill="1"/>
    <xf numFmtId="9" fontId="0" fillId="34" borderId="0" xfId="3" applyFont="1" applyFill="1"/>
    <xf numFmtId="0" fontId="14" fillId="34" borderId="0" xfId="0" applyFont="1" applyFill="1"/>
    <xf numFmtId="164" fontId="0" fillId="0" borderId="0" xfId="0" applyNumberFormat="1"/>
    <xf numFmtId="164" fontId="16" fillId="0" borderId="0" xfId="0" applyNumberFormat="1" applyFont="1" applyAlignment="1">
      <alignment horizontal="center"/>
    </xf>
    <xf numFmtId="164" fontId="18" fillId="34" borderId="0" xfId="1" applyNumberFormat="1" applyFont="1" applyFill="1"/>
    <xf numFmtId="164" fontId="51" fillId="34" borderId="0" xfId="1" applyNumberFormat="1" applyFont="1" applyFill="1"/>
    <xf numFmtId="164" fontId="16" fillId="0" borderId="0" xfId="1" applyNumberFormat="1" applyFont="1"/>
    <xf numFmtId="164" fontId="49" fillId="0" borderId="0" xfId="0" applyNumberFormat="1" applyFont="1"/>
    <xf numFmtId="164" fontId="57" fillId="0" borderId="0" xfId="0" applyNumberFormat="1" applyFont="1"/>
    <xf numFmtId="0" fontId="58" fillId="33" borderId="11" xfId="0" applyFont="1" applyFill="1" applyBorder="1" applyAlignment="1">
      <alignment horizontal="center"/>
    </xf>
    <xf numFmtId="0" fontId="0" fillId="33" borderId="11" xfId="0" applyFill="1" applyBorder="1"/>
    <xf numFmtId="168" fontId="0" fillId="33" borderId="11" xfId="2" applyNumberFormat="1" applyFont="1" applyFill="1" applyBorder="1" applyAlignment="1">
      <alignment vertical="center" wrapText="1"/>
    </xf>
    <xf numFmtId="1" fontId="0" fillId="33" borderId="11" xfId="0" applyNumberFormat="1" applyFill="1" applyBorder="1"/>
    <xf numFmtId="0" fontId="69" fillId="33" borderId="11" xfId="0" applyFont="1" applyFill="1" applyBorder="1" applyAlignment="1">
      <alignment horizontal="center"/>
    </xf>
    <xf numFmtId="9" fontId="69" fillId="33" borderId="11" xfId="3" applyFont="1" applyFill="1" applyBorder="1" applyAlignment="1">
      <alignment horizontal="center" vertical="center" wrapText="1"/>
    </xf>
    <xf numFmtId="170" fontId="18" fillId="0" borderId="11" xfId="0" applyNumberFormat="1" applyFont="1" applyBorder="1" applyAlignment="1">
      <alignment horizontal="left"/>
    </xf>
    <xf numFmtId="165" fontId="70" fillId="34" borderId="15" xfId="2" applyNumberFormat="1" applyFont="1" applyFill="1" applyBorder="1"/>
    <xf numFmtId="0" fontId="65" fillId="0" borderId="11" xfId="0" applyFont="1" applyBorder="1" applyAlignment="1">
      <alignment horizontal="left" vertical="center"/>
    </xf>
    <xf numFmtId="0" fontId="48" fillId="36" borderId="0" xfId="0" applyFont="1" applyFill="1" applyAlignment="1">
      <alignment horizontal="left" vertical="center"/>
    </xf>
    <xf numFmtId="0" fontId="48" fillId="34" borderId="0" xfId="0" applyFont="1" applyFill="1" applyAlignment="1">
      <alignment horizontal="left" vertical="center"/>
    </xf>
    <xf numFmtId="0" fontId="0" fillId="0" borderId="15" xfId="0" applyBorder="1" applyAlignment="1">
      <alignment horizontal="left" vertical="center"/>
    </xf>
    <xf numFmtId="0" fontId="0" fillId="0" borderId="11" xfId="0" applyBorder="1" applyAlignment="1">
      <alignment horizontal="left"/>
    </xf>
    <xf numFmtId="0" fontId="0" fillId="0" borderId="11" xfId="0" applyBorder="1" applyAlignment="1">
      <alignment horizontal="left" vertical="center" wrapText="1"/>
    </xf>
    <xf numFmtId="0" fontId="0" fillId="0" borderId="11" xfId="0" applyBorder="1" applyAlignment="1">
      <alignment horizontal="left" vertical="center"/>
    </xf>
    <xf numFmtId="0" fontId="16" fillId="0" borderId="11" xfId="0" applyFont="1" applyBorder="1" applyAlignment="1">
      <alignment horizontal="left" vertical="center"/>
    </xf>
    <xf numFmtId="0" fontId="62" fillId="0" borderId="11" xfId="0" applyFont="1" applyBorder="1" applyAlignment="1">
      <alignment horizontal="left" vertical="center"/>
    </xf>
    <xf numFmtId="0" fontId="46" fillId="0" borderId="11" xfId="0" applyFont="1" applyBorder="1" applyAlignment="1">
      <alignment horizontal="left" vertical="center"/>
    </xf>
    <xf numFmtId="164" fontId="0" fillId="34" borderId="11" xfId="1" applyNumberFormat="1" applyFont="1" applyFill="1" applyBorder="1" applyAlignment="1">
      <alignment horizontal="left" vertical="center" wrapText="1"/>
    </xf>
    <xf numFmtId="164" fontId="0" fillId="0" borderId="11" xfId="1" applyNumberFormat="1" applyFont="1" applyBorder="1" applyAlignment="1">
      <alignment horizontal="left" vertical="center"/>
    </xf>
    <xf numFmtId="0" fontId="0" fillId="34" borderId="11" xfId="0" applyFill="1" applyBorder="1" applyAlignment="1">
      <alignment horizontal="left" vertical="center"/>
    </xf>
    <xf numFmtId="9" fontId="64" fillId="0" borderId="11" xfId="3" applyFont="1" applyFill="1" applyBorder="1" applyAlignment="1">
      <alignment horizontal="center" vertical="center" wrapText="1"/>
    </xf>
    <xf numFmtId="167" fontId="16" fillId="0" borderId="11" xfId="2" applyNumberFormat="1" applyFont="1" applyFill="1" applyBorder="1" applyAlignment="1">
      <alignment horizontal="center"/>
    </xf>
    <xf numFmtId="9" fontId="0" fillId="0" borderId="0" xfId="3" applyFont="1"/>
    <xf numFmtId="2" fontId="19" fillId="0" borderId="11" xfId="2" applyNumberFormat="1" applyFont="1" applyFill="1" applyBorder="1" applyAlignment="1">
      <alignment wrapText="1"/>
    </xf>
    <xf numFmtId="164" fontId="0" fillId="33" borderId="11" xfId="1" applyNumberFormat="1" applyFont="1" applyFill="1" applyBorder="1" applyAlignment="1">
      <alignment horizontal="center"/>
    </xf>
    <xf numFmtId="44" fontId="16" fillId="33" borderId="11" xfId="2" applyFont="1" applyFill="1" applyBorder="1" applyAlignment="1">
      <alignment horizontal="center"/>
    </xf>
    <xf numFmtId="9" fontId="0" fillId="33" borderId="11" xfId="0" applyNumberFormat="1" applyFill="1" applyBorder="1" applyAlignment="1">
      <alignment horizontal="center"/>
    </xf>
    <xf numFmtId="0" fontId="71" fillId="0" borderId="0" xfId="0" applyFont="1"/>
    <xf numFmtId="0" fontId="72" fillId="0" borderId="0" xfId="0" applyFont="1"/>
    <xf numFmtId="0" fontId="0" fillId="0" borderId="0" xfId="0" applyAlignment="1">
      <alignment wrapText="1"/>
    </xf>
    <xf numFmtId="0" fontId="73" fillId="0" borderId="0" xfId="45" applyFont="1"/>
    <xf numFmtId="0" fontId="50" fillId="0" borderId="0" xfId="0" applyFont="1" applyAlignment="1">
      <alignment horizontal="left" vertical="center" wrapText="1"/>
    </xf>
    <xf numFmtId="0" fontId="27" fillId="34" borderId="17" xfId="0" applyFont="1" applyFill="1" applyBorder="1" applyAlignment="1">
      <alignment horizontal="left" vertical="center"/>
    </xf>
    <xf numFmtId="0" fontId="27" fillId="34" borderId="18" xfId="0" applyFont="1" applyFill="1" applyBorder="1" applyAlignment="1">
      <alignment horizontal="left" vertical="center"/>
    </xf>
    <xf numFmtId="0" fontId="27" fillId="34" borderId="19" xfId="0" applyFont="1" applyFill="1" applyBorder="1" applyAlignment="1">
      <alignment horizontal="left" vertical="center"/>
    </xf>
    <xf numFmtId="0" fontId="59" fillId="34" borderId="27" xfId="0" applyFont="1" applyFill="1" applyBorder="1" applyAlignment="1">
      <alignment horizontal="left"/>
    </xf>
    <xf numFmtId="0" fontId="59" fillId="34" borderId="28" xfId="0" applyFont="1" applyFill="1" applyBorder="1" applyAlignment="1">
      <alignment horizontal="left"/>
    </xf>
    <xf numFmtId="0" fontId="59" fillId="34" borderId="29" xfId="0" applyFont="1" applyFill="1" applyBorder="1" applyAlignment="1">
      <alignment horizontal="left"/>
    </xf>
    <xf numFmtId="0" fontId="0" fillId="33" borderId="12" xfId="0" applyFill="1" applyBorder="1" applyAlignment="1">
      <alignment horizontal="center" vertical="center" wrapText="1"/>
    </xf>
    <xf numFmtId="0" fontId="0" fillId="33" borderId="25" xfId="0" applyFill="1" applyBorder="1" applyAlignment="1">
      <alignment horizontal="center" vertical="center" wrapText="1"/>
    </xf>
    <xf numFmtId="0" fontId="0" fillId="33" borderId="13" xfId="0" applyFill="1" applyBorder="1" applyAlignment="1">
      <alignment horizontal="center" vertical="center" wrapText="1"/>
    </xf>
    <xf numFmtId="0" fontId="25" fillId="35" borderId="0" xfId="0" applyFont="1" applyFill="1" applyAlignment="1">
      <alignment horizontal="center" vertical="center" wrapText="1"/>
    </xf>
    <xf numFmtId="0" fontId="30" fillId="35" borderId="0" xfId="0" applyFont="1" applyFill="1" applyAlignment="1">
      <alignment horizontal="center"/>
    </xf>
  </cellXfs>
  <cellStyles count="46">
    <cellStyle name="20% - Accent1" xfId="22" builtinId="30" customBuiltin="1"/>
    <cellStyle name="20% - Accent2" xfId="26" builtinId="34" customBuiltin="1"/>
    <cellStyle name="20% - Accent3" xfId="30" builtinId="38" customBuiltin="1"/>
    <cellStyle name="20% - Accent4" xfId="34" builtinId="42" customBuiltin="1"/>
    <cellStyle name="20% - Accent5" xfId="38" builtinId="46" customBuiltin="1"/>
    <cellStyle name="20% - Accent6" xfId="42" builtinId="50" customBuiltin="1"/>
    <cellStyle name="40% - Accent1" xfId="23" builtinId="31" customBuiltin="1"/>
    <cellStyle name="40% - Accent2" xfId="27" builtinId="35" customBuiltin="1"/>
    <cellStyle name="40% - Accent3" xfId="31" builtinId="39" customBuiltin="1"/>
    <cellStyle name="40% - Accent4" xfId="35" builtinId="43" customBuiltin="1"/>
    <cellStyle name="40% - Accent5" xfId="39" builtinId="47" customBuiltin="1"/>
    <cellStyle name="40% - Accent6" xfId="43" builtinId="51" customBuiltin="1"/>
    <cellStyle name="60% - Accent1" xfId="24" builtinId="32" customBuiltin="1"/>
    <cellStyle name="60% - Accent2" xfId="28" builtinId="36" customBuiltin="1"/>
    <cellStyle name="60% - Accent3" xfId="32" builtinId="40" customBuiltin="1"/>
    <cellStyle name="60% - Accent4" xfId="36" builtinId="44" customBuiltin="1"/>
    <cellStyle name="60% - Accent5" xfId="40" builtinId="48" customBuiltin="1"/>
    <cellStyle name="60% - Accent6" xfId="44" builtinId="52" customBuiltin="1"/>
    <cellStyle name="Accent1" xfId="21" builtinId="29" customBuiltin="1"/>
    <cellStyle name="Accent2" xfId="25" builtinId="33" customBuiltin="1"/>
    <cellStyle name="Accent3" xfId="29" builtinId="37" customBuiltin="1"/>
    <cellStyle name="Accent4" xfId="33" builtinId="41" customBuiltin="1"/>
    <cellStyle name="Accent5" xfId="37" builtinId="45" customBuiltin="1"/>
    <cellStyle name="Accent6" xfId="41" builtinId="49" customBuiltin="1"/>
    <cellStyle name="Bad" xfId="10" builtinId="27" customBuiltin="1"/>
    <cellStyle name="Calculation" xfId="14" builtinId="22" customBuiltin="1"/>
    <cellStyle name="Check Cell" xfId="16" builtinId="23" customBuiltin="1"/>
    <cellStyle name="Comma" xfId="1" builtinId="3"/>
    <cellStyle name="Currency" xfId="2" builtinId="4"/>
    <cellStyle name="Explanatory Text" xfId="19" builtinId="53" customBuiltin="1"/>
    <cellStyle name="Good" xfId="9" builtinId="26" customBuiltin="1"/>
    <cellStyle name="Heading 1" xfId="5" builtinId="16" customBuiltin="1"/>
    <cellStyle name="Heading 2" xfId="6" builtinId="17" customBuiltin="1"/>
    <cellStyle name="Heading 3" xfId="7" builtinId="18" customBuiltin="1"/>
    <cellStyle name="Heading 4" xfId="8" builtinId="19" customBuiltin="1"/>
    <cellStyle name="Hyperlink" xfId="45" builtinId="8"/>
    <cellStyle name="Input" xfId="12" builtinId="20" customBuiltin="1"/>
    <cellStyle name="Linked Cell" xfId="15" builtinId="24" customBuiltin="1"/>
    <cellStyle name="Neutral" xfId="11" builtinId="28" customBuiltin="1"/>
    <cellStyle name="Normal" xfId="0" builtinId="0"/>
    <cellStyle name="Note" xfId="18" builtinId="10" customBuiltin="1"/>
    <cellStyle name="Output" xfId="13" builtinId="21" customBuiltin="1"/>
    <cellStyle name="Percent" xfId="3" builtinId="5"/>
    <cellStyle name="Title" xfId="4" builtinId="15" customBuiltin="1"/>
    <cellStyle name="Total" xfId="20" builtinId="25" customBuiltin="1"/>
    <cellStyle name="Warning Text" xfId="17" builtinId="11" customBuiltin="1"/>
  </cellStyles>
  <dxfs count="11">
    <dxf>
      <fill>
        <patternFill>
          <bgColor rgb="FFDAF2D0"/>
        </patternFill>
      </fill>
    </dxf>
    <dxf>
      <numFmt numFmtId="0" formatCode="General"/>
    </dxf>
    <dxf>
      <numFmt numFmtId="22" formatCode="mmm\-yy"/>
    </dxf>
    <dxf>
      <numFmt numFmtId="22" formatCode="mmm\-yy"/>
    </dxf>
    <dxf>
      <numFmt numFmtId="22" formatCode="mmm\-yy"/>
    </dxf>
    <dxf>
      <numFmt numFmtId="22" formatCode="mmm\-yy"/>
    </dxf>
    <dxf>
      <numFmt numFmtId="10" formatCode="&quot;$&quot;#,##0_);[Red]\(&quot;$&quot;#,##0\)"/>
    </dxf>
    <dxf>
      <numFmt numFmtId="13" formatCode="0%"/>
    </dxf>
    <dxf>
      <numFmt numFmtId="19" formatCode="m/d/yyyy"/>
    </dxf>
    <dxf>
      <numFmt numFmtId="19" formatCode="m/d/yyyy"/>
    </dxf>
    <dxf>
      <numFmt numFmtId="10" formatCode="&quot;$&quot;#,##0_);[Red]\(&quot;$&quot;#,##0\)"/>
    </dxf>
  </dxfs>
  <tableStyles count="0" defaultTableStyle="TableStyleMedium2" defaultPivotStyle="PivotStyleLight16"/>
  <colors>
    <mruColors>
      <color rgb="FF093D33"/>
      <color rgb="FF2CA884"/>
      <color rgb="FF32C097"/>
      <color rgb="FFFF7C80"/>
      <color rgb="FFF7F8F7"/>
      <color rgb="FFCBECE3"/>
      <color rgb="FFDAF2D0"/>
      <color rgb="FF4C7A71"/>
      <color rgb="FF64A48C"/>
      <color rgb="FF285B5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a:defRPr sz="1050" b="0" i="0" u="none" strike="noStrike" kern="1200" spc="0" baseline="0">
                <a:solidFill>
                  <a:srgbClr val="093D33"/>
                </a:solidFill>
                <a:latin typeface="Merriweather Black 18pt" pitchFamily="2" charset="0"/>
                <a:ea typeface="Merriweather Black 18pt" pitchFamily="2" charset="0"/>
                <a:cs typeface="Merriweather Black 18pt" pitchFamily="2" charset="0"/>
              </a:defRPr>
            </a:pPr>
            <a:r>
              <a:rPr lang="en-US" sz="1050">
                <a:solidFill>
                  <a:srgbClr val="093D33"/>
                </a:solidFill>
                <a:latin typeface="Merriweather Black 18pt" pitchFamily="2" charset="0"/>
                <a:ea typeface="Merriweather Black 18pt" pitchFamily="2" charset="0"/>
                <a:cs typeface="Merriweather Black 18pt" pitchFamily="2" charset="0"/>
              </a:rPr>
              <a:t>Revenue</a:t>
            </a:r>
            <a:r>
              <a:rPr lang="en-US" sz="1050" baseline="0">
                <a:solidFill>
                  <a:srgbClr val="093D33"/>
                </a:solidFill>
                <a:latin typeface="Merriweather Black 18pt" pitchFamily="2" charset="0"/>
                <a:ea typeface="Merriweather Black 18pt" pitchFamily="2" charset="0"/>
                <a:cs typeface="Merriweather Black 18pt" pitchFamily="2" charset="0"/>
              </a:rPr>
              <a:t> Forecast Trend</a:t>
            </a:r>
            <a:endParaRPr lang="en-US" sz="1050">
              <a:solidFill>
                <a:srgbClr val="093D33"/>
              </a:solidFill>
              <a:latin typeface="Merriweather Black 18pt" pitchFamily="2" charset="0"/>
              <a:ea typeface="Merriweather Black 18pt" pitchFamily="2" charset="0"/>
              <a:cs typeface="Merriweather Black 18pt" pitchFamily="2" charset="0"/>
            </a:endParaRPr>
          </a:p>
        </c:rich>
      </c:tx>
      <c:layout>
        <c:manualLayout>
          <c:xMode val="edge"/>
          <c:yMode val="edge"/>
          <c:x val="0.19196447537081121"/>
          <c:y val="2.9223419649848842E-2"/>
        </c:manualLayout>
      </c:layout>
      <c:overlay val="0"/>
      <c:spPr>
        <a:noFill/>
        <a:ln>
          <a:noFill/>
        </a:ln>
        <a:effectLst/>
      </c:spPr>
      <c:txPr>
        <a:bodyPr rot="0" spcFirstLastPara="1" vertOverflow="ellipsis" vert="horz" wrap="square" anchor="ctr" anchorCtr="1"/>
        <a:lstStyle/>
        <a:p>
          <a:pPr algn="ctr">
            <a:defRPr sz="1050" b="0" i="0" u="none" strike="noStrike" kern="1200" spc="0" baseline="0">
              <a:solidFill>
                <a:srgbClr val="093D33"/>
              </a:solidFill>
              <a:latin typeface="Merriweather Black 18pt" pitchFamily="2" charset="0"/>
              <a:ea typeface="Merriweather Black 18pt" pitchFamily="2" charset="0"/>
              <a:cs typeface="Merriweather Black 18pt" pitchFamily="2" charset="0"/>
            </a:defRPr>
          </a:pPr>
          <a:endParaRPr lang="en-US"/>
        </a:p>
      </c:txPr>
    </c:title>
    <c:autoTitleDeleted val="0"/>
    <c:plotArea>
      <c:layout/>
      <c:lineChart>
        <c:grouping val="standard"/>
        <c:varyColors val="0"/>
        <c:ser>
          <c:idx val="0"/>
          <c:order val="0"/>
          <c:tx>
            <c:strRef>
              <c:f>'Forecast Sep-Nov 2025'!$B$8</c:f>
              <c:strCache>
                <c:ptCount val="1"/>
                <c:pt idx="0">
                  <c:v>Target ARR - Plan</c:v>
                </c:pt>
              </c:strCache>
            </c:strRef>
          </c:tx>
          <c:spPr>
            <a:ln w="19050" cap="rnd">
              <a:solidFill>
                <a:schemeClr val="bg1">
                  <a:lumMod val="65000"/>
                </a:schemeClr>
              </a:solidFill>
              <a:prstDash val="sysDot"/>
              <a:round/>
            </a:ln>
            <a:effectLst/>
          </c:spPr>
          <c:marker>
            <c:symbol val="none"/>
          </c:marker>
          <c:dLbls>
            <c:numFmt formatCode="&quot;$&quot;#,##0,&quot;K&quot;" sourceLinked="0"/>
            <c:spPr>
              <a:noFill/>
              <a:ln>
                <a:noFill/>
              </a:ln>
              <a:effectLst/>
            </c:spPr>
            <c:txPr>
              <a:bodyPr rot="0" spcFirstLastPara="1" vertOverflow="overflow" horzOverflow="overflow" vert="horz" wrap="square" lIns="0" tIns="0" rIns="0" bIns="0" anchor="ctr" anchorCtr="1">
                <a:spAutoFit/>
              </a:bodyPr>
              <a:lstStyle/>
              <a:p>
                <a:pPr>
                  <a:defRPr sz="700" b="0" i="0" u="none" strike="noStrike" kern="1200" baseline="0">
                    <a:solidFill>
                      <a:schemeClr val="bg1">
                        <a:lumMod val="50000"/>
                      </a:schemeClr>
                    </a:solidFill>
                    <a:latin typeface="Merriweather 18pt" pitchFamily="2" charset="0"/>
                    <a:ea typeface="Merriweather 18pt" pitchFamily="2" charset="0"/>
                    <a:cs typeface="Merriweather 18pt" pitchFamily="2" charset="0"/>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'Forecast Sep-Nov 2025'!$C$7:$F$7</c15:sqref>
                  </c15:fullRef>
                </c:ext>
              </c:extLst>
              <c:f>'Forecast Sep-Nov 2025'!$C$7:$E$7</c:f>
              <c:numCache>
                <c:formatCode>mmm\-yy</c:formatCode>
                <c:ptCount val="3"/>
                <c:pt idx="0">
                  <c:v>45901</c:v>
                </c:pt>
                <c:pt idx="1">
                  <c:v>45931</c:v>
                </c:pt>
                <c:pt idx="2">
                  <c:v>45962</c:v>
                </c:pt>
              </c:numCache>
            </c:numRef>
          </c:cat>
          <c:val>
            <c:numRef>
              <c:extLst>
                <c:ext xmlns:c15="http://schemas.microsoft.com/office/drawing/2012/chart" uri="{02D57815-91ED-43cb-92C2-25804820EDAC}">
                  <c15:fullRef>
                    <c15:sqref>'Forecast Sep-Nov 2025'!$C$8:$F$8</c15:sqref>
                  </c15:fullRef>
                </c:ext>
              </c:extLst>
              <c:f>'Forecast Sep-Nov 2025'!$C$8:$E$8</c:f>
              <c:numCache>
                <c:formatCode>_(* #,##0_);_(* \(#,##0\);_(* "-"??_);_(@_)</c:formatCode>
                <c:ptCount val="3"/>
                <c:pt idx="0">
                  <c:v>425250</c:v>
                </c:pt>
                <c:pt idx="1">
                  <c:v>486000</c:v>
                </c:pt>
                <c:pt idx="2">
                  <c:v>303750</c:v>
                </c:pt>
              </c:numCache>
            </c:numRef>
          </c:val>
          <c:smooth val="0"/>
          <c:extLst>
            <c:ext xmlns:c16="http://schemas.microsoft.com/office/drawing/2014/chart" uri="{C3380CC4-5D6E-409C-BE32-E72D297353CC}">
              <c16:uniqueId val="{00000000-A41E-43CC-91DC-E60FAA4F9FA5}"/>
            </c:ext>
          </c:extLst>
        </c:ser>
        <c:ser>
          <c:idx val="4"/>
          <c:order val="4"/>
          <c:tx>
            <c:strRef>
              <c:f>'Forecast Sep-Nov 2025'!$B$12</c:f>
              <c:strCache>
                <c:ptCount val="1"/>
                <c:pt idx="0">
                  <c:v>TOTAL ARR Fcst</c:v>
                </c:pt>
              </c:strCache>
            </c:strRef>
          </c:tx>
          <c:spPr>
            <a:ln w="28575" cap="rnd">
              <a:solidFill>
                <a:srgbClr val="4C7A71"/>
              </a:solidFill>
              <a:round/>
            </a:ln>
            <a:effectLst/>
          </c:spPr>
          <c:marker>
            <c:symbol val="none"/>
          </c:marker>
          <c:dLbls>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2CA884"/>
                    </a:solidFill>
                    <a:latin typeface="Merriweather 18pt" pitchFamily="2" charset="0"/>
                    <a:ea typeface="Merriweather 18pt" pitchFamily="2" charset="0"/>
                    <a:cs typeface="Merriweather 18pt" pitchFamily="2"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'Forecast Sep-Nov 2025'!$C$7:$F$7</c15:sqref>
                  </c15:fullRef>
                </c:ext>
              </c:extLst>
              <c:f>'Forecast Sep-Nov 2025'!$C$7:$E$7</c:f>
              <c:numCache>
                <c:formatCode>mmm\-yy</c:formatCode>
                <c:ptCount val="3"/>
                <c:pt idx="0">
                  <c:v>45901</c:v>
                </c:pt>
                <c:pt idx="1">
                  <c:v>45931</c:v>
                </c:pt>
                <c:pt idx="2">
                  <c:v>45962</c:v>
                </c:pt>
              </c:numCache>
            </c:numRef>
          </c:cat>
          <c:val>
            <c:numRef>
              <c:extLst>
                <c:ext xmlns:c15="http://schemas.microsoft.com/office/drawing/2012/chart" uri="{02D57815-91ED-43cb-92C2-25804820EDAC}">
                  <c15:fullRef>
                    <c15:sqref>'Forecast Sep-Nov 2025'!$C$12:$F$12</c15:sqref>
                  </c15:fullRef>
                </c:ext>
              </c:extLst>
              <c:f>'Forecast Sep-Nov 2025'!$C$12:$E$12</c:f>
              <c:numCache>
                <c:formatCode>_(* #,##0_);_(* \(#,##0\);_(* "-"??_);_(@_)</c:formatCode>
                <c:ptCount val="3"/>
                <c:pt idx="0">
                  <c:v>899400</c:v>
                </c:pt>
                <c:pt idx="1">
                  <c:v>489500</c:v>
                </c:pt>
                <c:pt idx="2">
                  <c:v>394363.33333333337</c:v>
                </c:pt>
              </c:numCache>
            </c:numRef>
          </c:val>
          <c:smooth val="0"/>
          <c:extLst>
            <c:ext xmlns:c16="http://schemas.microsoft.com/office/drawing/2014/chart" uri="{C3380CC4-5D6E-409C-BE32-E72D297353CC}">
              <c16:uniqueId val="{0000000D-A41E-43CC-91DC-E60FAA4F9FA5}"/>
            </c:ext>
          </c:extLst>
        </c:ser>
        <c:dLbls>
          <c:showLegendKey val="0"/>
          <c:showVal val="0"/>
          <c:showCatName val="0"/>
          <c:showSerName val="0"/>
          <c:showPercent val="0"/>
          <c:showBubbleSize val="0"/>
        </c:dLbls>
        <c:smooth val="0"/>
        <c:axId val="1586585039"/>
        <c:axId val="1586582159"/>
        <c:extLst>
          <c:ext xmlns:c15="http://schemas.microsoft.com/office/drawing/2012/chart" uri="{02D57815-91ED-43cb-92C2-25804820EDAC}">
            <c15:filteredLineSeries>
              <c15:ser>
                <c:idx val="1"/>
                <c:order val="1"/>
                <c:tx>
                  <c:strRef>
                    <c:extLst>
                      <c:ext uri="{02D57815-91ED-43cb-92C2-25804820EDAC}">
                        <c15:formulaRef>
                          <c15:sqref>'Forecast Sep-Nov 2025'!$B$9</c15:sqref>
                        </c15:formulaRef>
                      </c:ext>
                    </c:extLst>
                    <c:strCache>
                      <c:ptCount val="1"/>
                    </c:strCache>
                  </c:strRef>
                </c:tx>
                <c:spPr>
                  <a:ln w="28575" cap="rnd">
                    <a:solidFill>
                      <a:schemeClr val="accent2"/>
                    </a:solidFill>
                    <a:round/>
                  </a:ln>
                  <a:effectLst/>
                </c:spPr>
                <c:marker>
                  <c:symbol val="none"/>
                </c:marker>
                <c:cat>
                  <c:numRef>
                    <c:extLst>
                      <c:ext uri="{02D57815-91ED-43cb-92C2-25804820EDAC}">
                        <c15:fullRef>
                          <c15:sqref>'Forecast Sep-Nov 2025'!$C$7:$F$7</c15:sqref>
                        </c15:fullRef>
                        <c15:formulaRef>
                          <c15:sqref>'Forecast Sep-Nov 2025'!$C$7:$E$7</c15:sqref>
                        </c15:formulaRef>
                      </c:ext>
                    </c:extLst>
                    <c:numCache>
                      <c:formatCode>mmm\-yy</c:formatCode>
                      <c:ptCount val="3"/>
                      <c:pt idx="0">
                        <c:v>45901</c:v>
                      </c:pt>
                      <c:pt idx="1">
                        <c:v>45931</c:v>
                      </c:pt>
                      <c:pt idx="2">
                        <c:v>45962</c:v>
                      </c:pt>
                    </c:numCache>
                  </c:numRef>
                </c:cat>
                <c:val>
                  <c:numRef>
                    <c:extLst>
                      <c:ext uri="{02D57815-91ED-43cb-92C2-25804820EDAC}">
                        <c15:fullRef>
                          <c15:sqref>'Forecast Sep-Nov 2025'!$C$9:$F$9</c15:sqref>
                        </c15:fullRef>
                        <c15:formulaRef>
                          <c15:sqref>'Forecast Sep-Nov 2025'!$C$9:$E$9</c15:sqref>
                        </c15:formulaRef>
                      </c:ext>
                    </c:extLst>
                    <c:numCache>
                      <c:formatCode>_(* #,##0_);_(* \(#,##0\);_(* "-"??_);_(@_)</c:formatCode>
                      <c:ptCount val="3"/>
                    </c:numCache>
                  </c:numRef>
                </c:val>
                <c:smooth val="0"/>
                <c:extLst>
                  <c:ext xmlns:c16="http://schemas.microsoft.com/office/drawing/2014/chart" uri="{C3380CC4-5D6E-409C-BE32-E72D297353CC}">
                    <c16:uniqueId val="{0000000A-A41E-43CC-91DC-E60FAA4F9FA5}"/>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'Forecast Sep-Nov 2025'!$B$10</c15:sqref>
                        </c15:formulaRef>
                      </c:ext>
                    </c:extLst>
                    <c:strCache>
                      <c:ptCount val="1"/>
                      <c:pt idx="0">
                        <c:v>Forecast ARR</c:v>
                      </c:pt>
                    </c:strCache>
                  </c:strRef>
                </c:tx>
                <c:spPr>
                  <a:ln w="28575" cap="rnd">
                    <a:solidFill>
                      <a:schemeClr val="accent3"/>
                    </a:solidFill>
                    <a:round/>
                  </a:ln>
                  <a:effectLst/>
                </c:spPr>
                <c:marker>
                  <c:symbol val="none"/>
                </c:marker>
                <c:cat>
                  <c:numRef>
                    <c:extLst>
                      <c:ext xmlns:c15="http://schemas.microsoft.com/office/drawing/2012/chart" uri="{02D57815-91ED-43cb-92C2-25804820EDAC}">
                        <c15:fullRef>
                          <c15:sqref>'Forecast Sep-Nov 2025'!$C$7:$F$7</c15:sqref>
                        </c15:fullRef>
                        <c15:formulaRef>
                          <c15:sqref>'Forecast Sep-Nov 2025'!$C$7:$E$7</c15:sqref>
                        </c15:formulaRef>
                      </c:ext>
                    </c:extLst>
                    <c:numCache>
                      <c:formatCode>mmm\-yy</c:formatCode>
                      <c:ptCount val="3"/>
                      <c:pt idx="0">
                        <c:v>45901</c:v>
                      </c:pt>
                      <c:pt idx="1">
                        <c:v>45931</c:v>
                      </c:pt>
                      <c:pt idx="2">
                        <c:v>45962</c:v>
                      </c:pt>
                    </c:numCache>
                  </c:numRef>
                </c:cat>
                <c:val>
                  <c:numRef>
                    <c:extLst>
                      <c:ext xmlns:c15="http://schemas.microsoft.com/office/drawing/2012/chart" uri="{02D57815-91ED-43cb-92C2-25804820EDAC}">
                        <c15:fullRef>
                          <c15:sqref>'Forecast Sep-Nov 2025'!$C$10:$F$10</c15:sqref>
                        </c15:fullRef>
                        <c15:formulaRef>
                          <c15:sqref>'Forecast Sep-Nov 2025'!$C$10:$E$10</c15:sqref>
                        </c15:formulaRef>
                      </c:ext>
                    </c:extLst>
                    <c:numCache>
                      <c:formatCode>_(* #,##0_);_(* \(#,##0\);_(* "-"??_);_(@_)</c:formatCode>
                      <c:ptCount val="3"/>
                      <c:pt idx="0">
                        <c:v>899400</c:v>
                      </c:pt>
                      <c:pt idx="1">
                        <c:v>489500</c:v>
                      </c:pt>
                      <c:pt idx="2">
                        <c:v>252100</c:v>
                      </c:pt>
                    </c:numCache>
                  </c:numRef>
                </c:val>
                <c:smooth val="0"/>
                <c:extLst xmlns:c15="http://schemas.microsoft.com/office/drawing/2012/chart">
                  <c:ext xmlns:c16="http://schemas.microsoft.com/office/drawing/2014/chart" uri="{C3380CC4-5D6E-409C-BE32-E72D297353CC}">
                    <c16:uniqueId val="{0000000B-A41E-43CC-91DC-E60FAA4F9FA5}"/>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'Forecast Sep-Nov 2025'!$B$11</c15:sqref>
                        </c15:formulaRef>
                      </c:ext>
                    </c:extLst>
                    <c:strCache>
                      <c:ptCount val="1"/>
                      <c:pt idx="0">
                        <c:v>New opps placeholder</c:v>
                      </c:pt>
                    </c:strCache>
                  </c:strRef>
                </c:tx>
                <c:spPr>
                  <a:ln w="28575" cap="rnd">
                    <a:solidFill>
                      <a:schemeClr val="accent4"/>
                    </a:solidFill>
                    <a:round/>
                  </a:ln>
                  <a:effectLst/>
                </c:spPr>
                <c:marker>
                  <c:symbol val="none"/>
                </c:marker>
                <c:cat>
                  <c:numRef>
                    <c:extLst>
                      <c:ext xmlns:c15="http://schemas.microsoft.com/office/drawing/2012/chart" uri="{02D57815-91ED-43cb-92C2-25804820EDAC}">
                        <c15:fullRef>
                          <c15:sqref>'Forecast Sep-Nov 2025'!$C$7:$F$7</c15:sqref>
                        </c15:fullRef>
                        <c15:formulaRef>
                          <c15:sqref>'Forecast Sep-Nov 2025'!$C$7:$E$7</c15:sqref>
                        </c15:formulaRef>
                      </c:ext>
                    </c:extLst>
                    <c:numCache>
                      <c:formatCode>mmm\-yy</c:formatCode>
                      <c:ptCount val="3"/>
                      <c:pt idx="0">
                        <c:v>45901</c:v>
                      </c:pt>
                      <c:pt idx="1">
                        <c:v>45931</c:v>
                      </c:pt>
                      <c:pt idx="2">
                        <c:v>45962</c:v>
                      </c:pt>
                    </c:numCache>
                  </c:numRef>
                </c:cat>
                <c:val>
                  <c:numRef>
                    <c:extLst>
                      <c:ext xmlns:c15="http://schemas.microsoft.com/office/drawing/2012/chart" uri="{02D57815-91ED-43cb-92C2-25804820EDAC}">
                        <c15:fullRef>
                          <c15:sqref>'Forecast Sep-Nov 2025'!$C$11:$F$11</c15:sqref>
                        </c15:fullRef>
                        <c15:formulaRef>
                          <c15:sqref>'Forecast Sep-Nov 2025'!$C$11:$E$11</c15:sqref>
                        </c15:formulaRef>
                      </c:ext>
                    </c:extLst>
                    <c:numCache>
                      <c:formatCode>_(* #,##0_);_(* \(#,##0\);_(* "-"??_);_(@_)</c:formatCode>
                      <c:ptCount val="3"/>
                      <c:pt idx="0">
                        <c:v>0</c:v>
                      </c:pt>
                      <c:pt idx="1">
                        <c:v>0</c:v>
                      </c:pt>
                      <c:pt idx="2">
                        <c:v>142263.33333333334</c:v>
                      </c:pt>
                    </c:numCache>
                  </c:numRef>
                </c:val>
                <c:smooth val="0"/>
                <c:extLst xmlns:c15="http://schemas.microsoft.com/office/drawing/2012/chart">
                  <c:ext xmlns:c16="http://schemas.microsoft.com/office/drawing/2014/chart" uri="{C3380CC4-5D6E-409C-BE32-E72D297353CC}">
                    <c16:uniqueId val="{0000000C-A41E-43CC-91DC-E60FAA4F9FA5}"/>
                  </c:ext>
                </c:extLst>
              </c15:ser>
            </c15:filteredLineSeries>
          </c:ext>
        </c:extLst>
      </c:lineChart>
      <c:dateAx>
        <c:axId val="1586585039"/>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4C7A71"/>
                </a:solidFill>
                <a:latin typeface="+mn-lt"/>
                <a:ea typeface="+mn-ea"/>
                <a:cs typeface="+mn-cs"/>
              </a:defRPr>
            </a:pPr>
            <a:endParaRPr lang="en-US"/>
          </a:p>
        </c:txPr>
        <c:crossAx val="1586582159"/>
        <c:crosses val="autoZero"/>
        <c:auto val="1"/>
        <c:lblOffset val="100"/>
        <c:baseTimeUnit val="months"/>
      </c:dateAx>
      <c:valAx>
        <c:axId val="1586582159"/>
        <c:scaling>
          <c:orientation val="minMax"/>
        </c:scaling>
        <c:delete val="1"/>
        <c:axPos val="l"/>
        <c:numFmt formatCode="_(* #,##0_);_(* \(#,##0\);_(* &quot;-&quot;??_);_(@_)" sourceLinked="1"/>
        <c:majorTickMark val="none"/>
        <c:minorTickMark val="none"/>
        <c:tickLblPos val="nextTo"/>
        <c:crossAx val="15865850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3975921445009283E-2"/>
          <c:y val="0.10549465154576661"/>
          <c:w val="0.84096382524690738"/>
          <c:h val="0.70988970824914177"/>
        </c:manualLayout>
      </c:layout>
      <c:barChart>
        <c:barDir val="col"/>
        <c:grouping val="clustered"/>
        <c:varyColors val="0"/>
        <c:ser>
          <c:idx val="0"/>
          <c:order val="0"/>
          <c:tx>
            <c:strRef>
              <c:f>'Metrics &amp; Statistics'!$B$10</c:f>
              <c:strCache>
                <c:ptCount val="1"/>
                <c:pt idx="0">
                  <c:v># Opps created</c:v>
                </c:pt>
              </c:strCache>
            </c:strRef>
          </c:tx>
          <c:spPr>
            <a:solidFill>
              <a:srgbClr val="093D33"/>
            </a:solidFill>
            <a:ln>
              <a:noFill/>
            </a:ln>
            <a:effectLst/>
          </c:spPr>
          <c:invertIfNegative val="0"/>
          <c:trendline>
            <c:spPr>
              <a:ln w="19050" cap="rnd">
                <a:solidFill>
                  <a:srgbClr val="2CA884"/>
                </a:solidFill>
                <a:prstDash val="sysDot"/>
              </a:ln>
              <a:effectLst/>
            </c:spPr>
            <c:trendlineType val="linear"/>
            <c:dispRSqr val="0"/>
            <c:dispEq val="0"/>
          </c:trendline>
          <c:cat>
            <c:numRef>
              <c:f>'Metrics &amp; Statistics'!$A$11:$A$15</c:f>
              <c:numCache>
                <c:formatCode>[$-409]mmm\-yy;@</c:formatCode>
                <c:ptCount val="5"/>
                <c:pt idx="0">
                  <c:v>45748</c:v>
                </c:pt>
                <c:pt idx="1">
                  <c:v>45778</c:v>
                </c:pt>
                <c:pt idx="2">
                  <c:v>45809</c:v>
                </c:pt>
                <c:pt idx="3">
                  <c:v>45839</c:v>
                </c:pt>
                <c:pt idx="4">
                  <c:v>45870</c:v>
                </c:pt>
              </c:numCache>
            </c:numRef>
          </c:cat>
          <c:val>
            <c:numRef>
              <c:f>'Metrics &amp; Statistics'!$B$11:$B$15</c:f>
              <c:numCache>
                <c:formatCode>General</c:formatCode>
                <c:ptCount val="5"/>
                <c:pt idx="0">
                  <c:v>18</c:v>
                </c:pt>
                <c:pt idx="1">
                  <c:v>19</c:v>
                </c:pt>
                <c:pt idx="2">
                  <c:v>9</c:v>
                </c:pt>
                <c:pt idx="3">
                  <c:v>2</c:v>
                </c:pt>
                <c:pt idx="4">
                  <c:v>1</c:v>
                </c:pt>
              </c:numCache>
            </c:numRef>
          </c:val>
          <c:extLst>
            <c:ext xmlns:c16="http://schemas.microsoft.com/office/drawing/2014/chart" uri="{C3380CC4-5D6E-409C-BE32-E72D297353CC}">
              <c16:uniqueId val="{00000000-FA0E-4DDF-9155-76E640B8A06A}"/>
            </c:ext>
          </c:extLst>
        </c:ser>
        <c:dLbls>
          <c:showLegendKey val="0"/>
          <c:showVal val="0"/>
          <c:showCatName val="0"/>
          <c:showSerName val="0"/>
          <c:showPercent val="0"/>
          <c:showBubbleSize val="0"/>
        </c:dLbls>
        <c:gapWidth val="219"/>
        <c:overlap val="-27"/>
        <c:axId val="32842800"/>
        <c:axId val="32843760"/>
      </c:barChart>
      <c:dateAx>
        <c:axId val="32842800"/>
        <c:scaling>
          <c:orientation val="minMax"/>
        </c:scaling>
        <c:delete val="0"/>
        <c:axPos val="b"/>
        <c:numFmt formatCode="[$-409]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32843760"/>
        <c:crosses val="autoZero"/>
        <c:auto val="1"/>
        <c:lblOffset val="100"/>
        <c:baseTimeUnit val="months"/>
      </c:dateAx>
      <c:valAx>
        <c:axId val="32843760"/>
        <c:scaling>
          <c:orientation val="minMax"/>
        </c:scaling>
        <c:delete val="1"/>
        <c:axPos val="l"/>
        <c:numFmt formatCode="General" sourceLinked="1"/>
        <c:majorTickMark val="none"/>
        <c:minorTickMark val="none"/>
        <c:tickLblPos val="nextTo"/>
        <c:crossAx val="3284280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sz="600"/>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hyperlink" Target="#'Metrics &amp; Statistics'!A1"/><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2.svg"/><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10</xdr:col>
      <xdr:colOff>400754</xdr:colOff>
      <xdr:row>12</xdr:row>
      <xdr:rowOff>57150</xdr:rowOff>
    </xdr:from>
    <xdr:to>
      <xdr:col>14</xdr:col>
      <xdr:colOff>571499</xdr:colOff>
      <xdr:row>20</xdr:row>
      <xdr:rowOff>6350</xdr:rowOff>
    </xdr:to>
    <xdr:sp macro="" textlink="">
      <xdr:nvSpPr>
        <xdr:cNvPr id="9" name="Rectangle: Rounded Corners 8">
          <a:extLst>
            <a:ext uri="{FF2B5EF4-FFF2-40B4-BE49-F238E27FC236}">
              <a16:creationId xmlns:a16="http://schemas.microsoft.com/office/drawing/2014/main" id="{7A2FB258-F0AA-356E-00A3-940BBADC5CDF}"/>
            </a:ext>
          </a:extLst>
        </xdr:cNvPr>
        <xdr:cNvSpPr/>
      </xdr:nvSpPr>
      <xdr:spPr>
        <a:xfrm>
          <a:off x="9805104" y="2482850"/>
          <a:ext cx="2888545" cy="1454150"/>
        </a:xfrm>
        <a:prstGeom prst="roundRect">
          <a:avLst/>
        </a:prstGeom>
        <a:solidFill>
          <a:srgbClr val="CBECE3"/>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95250</xdr:colOff>
      <xdr:row>0</xdr:row>
      <xdr:rowOff>56443</xdr:rowOff>
    </xdr:from>
    <xdr:to>
      <xdr:col>11</xdr:col>
      <xdr:colOff>476250</xdr:colOff>
      <xdr:row>2</xdr:row>
      <xdr:rowOff>105832</xdr:rowOff>
    </xdr:to>
    <xdr:sp macro="" textlink="">
      <xdr:nvSpPr>
        <xdr:cNvPr id="7" name="Rectangle: Rounded Corners 6">
          <a:extLst>
            <a:ext uri="{FF2B5EF4-FFF2-40B4-BE49-F238E27FC236}">
              <a16:creationId xmlns:a16="http://schemas.microsoft.com/office/drawing/2014/main" id="{65D70ABE-930D-E2C0-F6E6-9F6EC9709A42}"/>
            </a:ext>
          </a:extLst>
        </xdr:cNvPr>
        <xdr:cNvSpPr/>
      </xdr:nvSpPr>
      <xdr:spPr>
        <a:xfrm>
          <a:off x="7912100" y="56443"/>
          <a:ext cx="2438400" cy="576439"/>
        </a:xfrm>
        <a:prstGeom prst="roundRect">
          <a:avLst/>
        </a:prstGeom>
        <a:solidFill>
          <a:srgbClr val="F7F8F7"/>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70554</xdr:colOff>
      <xdr:row>0</xdr:row>
      <xdr:rowOff>70550</xdr:rowOff>
    </xdr:from>
    <xdr:to>
      <xdr:col>11</xdr:col>
      <xdr:colOff>642055</xdr:colOff>
      <xdr:row>2</xdr:row>
      <xdr:rowOff>39506</xdr:rowOff>
    </xdr:to>
    <xdr:grpSp>
      <xdr:nvGrpSpPr>
        <xdr:cNvPr id="6" name="Group 5">
          <a:extLst>
            <a:ext uri="{FF2B5EF4-FFF2-40B4-BE49-F238E27FC236}">
              <a16:creationId xmlns:a16="http://schemas.microsoft.com/office/drawing/2014/main" id="{0CAA6FC2-B273-6029-D349-0F22AE31C816}"/>
            </a:ext>
          </a:extLst>
        </xdr:cNvPr>
        <xdr:cNvGrpSpPr/>
      </xdr:nvGrpSpPr>
      <xdr:grpSpPr>
        <a:xfrm>
          <a:off x="7776279" y="70550"/>
          <a:ext cx="2305051" cy="511881"/>
          <a:chOff x="11634610" y="91722"/>
          <a:chExt cx="2286002" cy="491067"/>
        </a:xfrm>
      </xdr:grpSpPr>
      <xdr:sp macro="" textlink="">
        <xdr:nvSpPr>
          <xdr:cNvPr id="2" name="TextBox 1">
            <a:extLst>
              <a:ext uri="{FF2B5EF4-FFF2-40B4-BE49-F238E27FC236}">
                <a16:creationId xmlns:a16="http://schemas.microsoft.com/office/drawing/2014/main" id="{3A09B010-C9C0-23D9-964E-BA0A427F4168}"/>
              </a:ext>
            </a:extLst>
          </xdr:cNvPr>
          <xdr:cNvSpPr txBox="1"/>
        </xdr:nvSpPr>
        <xdr:spPr>
          <a:xfrm>
            <a:off x="11832168" y="91722"/>
            <a:ext cx="1552222" cy="2822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Modifiable</a:t>
            </a:r>
            <a:r>
              <a:rPr lang="en-US" sz="1100" baseline="0"/>
              <a:t> Assumption</a:t>
            </a:r>
            <a:endParaRPr lang="en-US" sz="1100"/>
          </a:p>
        </xdr:txBody>
      </xdr:sp>
      <xdr:sp macro="" textlink="">
        <xdr:nvSpPr>
          <xdr:cNvPr id="3" name="TextBox 2">
            <a:extLst>
              <a:ext uri="{FF2B5EF4-FFF2-40B4-BE49-F238E27FC236}">
                <a16:creationId xmlns:a16="http://schemas.microsoft.com/office/drawing/2014/main" id="{31E7EEE9-5441-4A60-A759-990788AFD361}"/>
              </a:ext>
            </a:extLst>
          </xdr:cNvPr>
          <xdr:cNvSpPr txBox="1"/>
        </xdr:nvSpPr>
        <xdr:spPr>
          <a:xfrm>
            <a:off x="11836402" y="300566"/>
            <a:ext cx="2084210" cy="2822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Fixed Parameter (do not change)</a:t>
            </a:r>
          </a:p>
        </xdr:txBody>
      </xdr:sp>
      <xdr:sp macro="" textlink="">
        <xdr:nvSpPr>
          <xdr:cNvPr id="4" name="Rectangle 3">
            <a:extLst>
              <a:ext uri="{FF2B5EF4-FFF2-40B4-BE49-F238E27FC236}">
                <a16:creationId xmlns:a16="http://schemas.microsoft.com/office/drawing/2014/main" id="{27E3DED5-A3AE-ECD6-EC0A-E09533B07483}"/>
              </a:ext>
            </a:extLst>
          </xdr:cNvPr>
          <xdr:cNvSpPr/>
        </xdr:nvSpPr>
        <xdr:spPr>
          <a:xfrm>
            <a:off x="11634610" y="169334"/>
            <a:ext cx="211667" cy="127000"/>
          </a:xfrm>
          <a:prstGeom prst="rect">
            <a:avLst/>
          </a:prstGeom>
          <a:solidFill>
            <a:srgbClr val="CBECE3"/>
          </a:solidFill>
          <a:ln>
            <a:solidFill>
              <a:srgbClr val="093D3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 name="Rectangle 4">
            <a:extLst>
              <a:ext uri="{FF2B5EF4-FFF2-40B4-BE49-F238E27FC236}">
                <a16:creationId xmlns:a16="http://schemas.microsoft.com/office/drawing/2014/main" id="{33615788-AD0C-4EC9-9EB5-C46E2C3894CD}"/>
              </a:ext>
            </a:extLst>
          </xdr:cNvPr>
          <xdr:cNvSpPr/>
        </xdr:nvSpPr>
        <xdr:spPr>
          <a:xfrm>
            <a:off x="11638844" y="378178"/>
            <a:ext cx="211667" cy="127000"/>
          </a:xfrm>
          <a:prstGeom prst="rect">
            <a:avLst/>
          </a:prstGeom>
          <a:solidFill>
            <a:schemeClr val="bg1">
              <a:lumMod val="95000"/>
            </a:schemeClr>
          </a:solidFill>
          <a:ln>
            <a:solidFill>
              <a:srgbClr val="093D3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10</xdr:col>
      <xdr:colOff>425450</xdr:colOff>
      <xdr:row>13</xdr:row>
      <xdr:rowOff>47273</xdr:rowOff>
    </xdr:from>
    <xdr:to>
      <xdr:col>14</xdr:col>
      <xdr:colOff>533400</xdr:colOff>
      <xdr:row>19</xdr:row>
      <xdr:rowOff>88900</xdr:rowOff>
    </xdr:to>
    <xdr:sp macro="" textlink="">
      <xdr:nvSpPr>
        <xdr:cNvPr id="8" name="TextBox 7">
          <a:extLst>
            <a:ext uri="{FF2B5EF4-FFF2-40B4-BE49-F238E27FC236}">
              <a16:creationId xmlns:a16="http://schemas.microsoft.com/office/drawing/2014/main" id="{B3C1ACBE-0DB6-2F81-BEA6-CD98F985CF76}"/>
            </a:ext>
          </a:extLst>
        </xdr:cNvPr>
        <xdr:cNvSpPr txBox="1"/>
      </xdr:nvSpPr>
      <xdr:spPr>
        <a:xfrm>
          <a:off x="9829800" y="2650773"/>
          <a:ext cx="2825750" cy="11973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a:t>1.</a:t>
          </a:r>
          <a:r>
            <a:rPr lang="en-US" sz="1200" baseline="0"/>
            <a:t> </a:t>
          </a:r>
          <a:r>
            <a:rPr lang="en-US" sz="1200"/>
            <a:t>Adjust probabilities (0–100%+) to build alternative scenarios vs. Scenario 1.</a:t>
          </a:r>
        </a:p>
        <a:p>
          <a:pPr algn="ctr"/>
          <a:endParaRPr lang="en-US" sz="1200"/>
        </a:p>
        <a:p>
          <a:pPr algn="ctr"/>
          <a:r>
            <a:rPr lang="en-US" sz="1200"/>
            <a:t>2.  Allocate</a:t>
          </a:r>
          <a:r>
            <a:rPr lang="en-US" sz="1200" baseline="0"/>
            <a:t> the Total ARR of the "Forecast ARR" row in the corresponding month.</a:t>
          </a:r>
          <a:endParaRPr lang="en-US" sz="1200" b="1"/>
        </a:p>
      </xdr:txBody>
    </xdr:sp>
    <xdr:clientData/>
  </xdr:twoCellAnchor>
  <xdr:twoCellAnchor>
    <xdr:from>
      <xdr:col>10</xdr:col>
      <xdr:colOff>74086</xdr:colOff>
      <xdr:row>12</xdr:row>
      <xdr:rowOff>43041</xdr:rowOff>
    </xdr:from>
    <xdr:to>
      <xdr:col>10</xdr:col>
      <xdr:colOff>425450</xdr:colOff>
      <xdr:row>16</xdr:row>
      <xdr:rowOff>4587</xdr:rowOff>
    </xdr:to>
    <xdr:cxnSp macro="">
      <xdr:nvCxnSpPr>
        <xdr:cNvPr id="11" name="Connector: Curved 10">
          <a:extLst>
            <a:ext uri="{FF2B5EF4-FFF2-40B4-BE49-F238E27FC236}">
              <a16:creationId xmlns:a16="http://schemas.microsoft.com/office/drawing/2014/main" id="{2012C5F6-73F3-BB9E-A2D5-6F25BA8F65A3}"/>
            </a:ext>
          </a:extLst>
        </xdr:cNvPr>
        <xdr:cNvCxnSpPr>
          <a:stCxn id="8" idx="1"/>
        </xdr:cNvCxnSpPr>
      </xdr:nvCxnSpPr>
      <xdr:spPr>
        <a:xfrm rot="10800000">
          <a:off x="9478436" y="2468741"/>
          <a:ext cx="351364" cy="780696"/>
        </a:xfrm>
        <a:prstGeom prst="curvedConnector2">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282223</xdr:colOff>
      <xdr:row>23</xdr:row>
      <xdr:rowOff>289277</xdr:rowOff>
    </xdr:from>
    <xdr:to>
      <xdr:col>15</xdr:col>
      <xdr:colOff>294923</xdr:colOff>
      <xdr:row>39</xdr:row>
      <xdr:rowOff>148166</xdr:rowOff>
    </xdr:to>
    <xdr:sp macro="" textlink="">
      <xdr:nvSpPr>
        <xdr:cNvPr id="12" name="Rectangle: Rounded Corners 11">
          <a:extLst>
            <a:ext uri="{FF2B5EF4-FFF2-40B4-BE49-F238E27FC236}">
              <a16:creationId xmlns:a16="http://schemas.microsoft.com/office/drawing/2014/main" id="{61938E79-EE23-4589-9206-B9C29CDF6C74}"/>
            </a:ext>
          </a:extLst>
        </xdr:cNvPr>
        <xdr:cNvSpPr/>
      </xdr:nvSpPr>
      <xdr:spPr>
        <a:xfrm>
          <a:off x="8067323" y="5045427"/>
          <a:ext cx="5403850" cy="2779889"/>
        </a:xfrm>
        <a:prstGeom prst="roundRect">
          <a:avLst/>
        </a:prstGeom>
        <a:solidFill>
          <a:srgbClr val="CBECE3"/>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44450</xdr:colOff>
      <xdr:row>24</xdr:row>
      <xdr:rowOff>143228</xdr:rowOff>
    </xdr:from>
    <xdr:to>
      <xdr:col>15</xdr:col>
      <xdr:colOff>298450</xdr:colOff>
      <xdr:row>39</xdr:row>
      <xdr:rowOff>82550</xdr:rowOff>
    </xdr:to>
    <xdr:sp macro="" textlink="">
      <xdr:nvSpPr>
        <xdr:cNvPr id="13" name="TextBox 12">
          <a:extLst>
            <a:ext uri="{FF2B5EF4-FFF2-40B4-BE49-F238E27FC236}">
              <a16:creationId xmlns:a16="http://schemas.microsoft.com/office/drawing/2014/main" id="{D0D53280-7B32-450F-B5B5-148D8D4AA684}"/>
            </a:ext>
          </a:extLst>
        </xdr:cNvPr>
        <xdr:cNvSpPr txBox="1"/>
      </xdr:nvSpPr>
      <xdr:spPr>
        <a:xfrm>
          <a:off x="8140700" y="4937478"/>
          <a:ext cx="5334000" cy="24920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Reference</a:t>
          </a:r>
          <a:br>
            <a:rPr lang="en-US" sz="1200"/>
          </a:br>
          <a:r>
            <a:rPr lang="en-US" sz="1200"/>
            <a:t>Since the pipeline download only includes data through </a:t>
          </a:r>
          <a:r>
            <a:rPr lang="en-US" sz="1200" b="1"/>
            <a:t>August 31st</a:t>
          </a:r>
          <a:r>
            <a:rPr lang="en-US" sz="1200"/>
            <a:t>, both scenarios include a </a:t>
          </a:r>
          <a:r>
            <a:rPr lang="en-US" sz="1200" b="1"/>
            <a:t>placeholder for “Revenue from New Opportunities.”</a:t>
          </a:r>
        </a:p>
        <a:p>
          <a:endParaRPr lang="en-US" sz="1200"/>
        </a:p>
        <a:p>
          <a:r>
            <a:rPr lang="en-US" sz="1200"/>
            <a:t>This placeholder revenue is based on:</a:t>
          </a:r>
        </a:p>
        <a:p>
          <a:r>
            <a:rPr lang="en-US" sz="1200"/>
            <a:t>* Average $ARR per Closed Deal</a:t>
          </a:r>
        </a:p>
        <a:p>
          <a:r>
            <a:rPr lang="en-US" sz="1200"/>
            <a:t>* Average Sales Cycle Days (from Closed Deals)</a:t>
          </a:r>
        </a:p>
        <a:p>
          <a:r>
            <a:rPr lang="en-US" sz="1200"/>
            <a:t>* Average number of Opportunities created per month (Apr–Aug 2025)</a:t>
          </a:r>
        </a:p>
        <a:p>
          <a:r>
            <a:rPr lang="en-US" sz="1200"/>
            <a:t>* Win Rate from Closed Deals</a:t>
          </a:r>
        </a:p>
        <a:p>
          <a:endParaRPr lang="en-US" sz="1200"/>
        </a:p>
        <a:p>
          <a:r>
            <a:rPr lang="en-US" sz="1200"/>
            <a:t>After calculating the total placeholder $ARR, the amount is phased across months to reflect the expected timing of when that revenue would be recognized.</a:t>
          </a:r>
        </a:p>
      </xdr:txBody>
    </xdr:sp>
    <xdr:clientData/>
  </xdr:twoCellAnchor>
  <xdr:twoCellAnchor>
    <xdr:from>
      <xdr:col>5</xdr:col>
      <xdr:colOff>82550</xdr:colOff>
      <xdr:row>16</xdr:row>
      <xdr:rowOff>0</xdr:rowOff>
    </xdr:from>
    <xdr:to>
      <xdr:col>10</xdr:col>
      <xdr:colOff>425450</xdr:colOff>
      <xdr:row>16</xdr:row>
      <xdr:rowOff>4587</xdr:rowOff>
    </xdr:to>
    <xdr:cxnSp macro="">
      <xdr:nvCxnSpPr>
        <xdr:cNvPr id="26" name="Straight Arrow Connector 25">
          <a:extLst>
            <a:ext uri="{FF2B5EF4-FFF2-40B4-BE49-F238E27FC236}">
              <a16:creationId xmlns:a16="http://schemas.microsoft.com/office/drawing/2014/main" id="{22ECDF4F-9F2D-F323-5009-6FB5DEA9146F}"/>
            </a:ext>
          </a:extLst>
        </xdr:cNvPr>
        <xdr:cNvCxnSpPr>
          <a:stCxn id="8" idx="1"/>
        </xdr:cNvCxnSpPr>
      </xdr:nvCxnSpPr>
      <xdr:spPr>
        <a:xfrm flipH="1" flipV="1">
          <a:off x="6184900" y="3244850"/>
          <a:ext cx="3644900" cy="4587"/>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646642</xdr:colOff>
      <xdr:row>1</xdr:row>
      <xdr:rowOff>26460</xdr:rowOff>
    </xdr:from>
    <xdr:to>
      <xdr:col>8</xdr:col>
      <xdr:colOff>1248834</xdr:colOff>
      <xdr:row>5</xdr:row>
      <xdr:rowOff>64560</xdr:rowOff>
    </xdr:to>
    <xdr:sp macro="" textlink="">
      <xdr:nvSpPr>
        <xdr:cNvPr id="49" name="Rectangle: Rounded Corners 48">
          <a:extLst>
            <a:ext uri="{FF2B5EF4-FFF2-40B4-BE49-F238E27FC236}">
              <a16:creationId xmlns:a16="http://schemas.microsoft.com/office/drawing/2014/main" id="{AF01B1D2-4B6F-45B7-82F7-3C6CE2C9C762}"/>
            </a:ext>
          </a:extLst>
        </xdr:cNvPr>
        <xdr:cNvSpPr/>
      </xdr:nvSpPr>
      <xdr:spPr>
        <a:xfrm>
          <a:off x="6700309" y="190502"/>
          <a:ext cx="1702858" cy="715433"/>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4</xdr:col>
      <xdr:colOff>596900</xdr:colOff>
      <xdr:row>1</xdr:row>
      <xdr:rowOff>19051</xdr:rowOff>
    </xdr:from>
    <xdr:to>
      <xdr:col>5</xdr:col>
      <xdr:colOff>811742</xdr:colOff>
      <xdr:row>5</xdr:row>
      <xdr:rowOff>57151</xdr:rowOff>
    </xdr:to>
    <xdr:sp macro="" textlink="">
      <xdr:nvSpPr>
        <xdr:cNvPr id="44" name="Rectangle: Rounded Corners 43">
          <a:extLst>
            <a:ext uri="{FF2B5EF4-FFF2-40B4-BE49-F238E27FC236}">
              <a16:creationId xmlns:a16="http://schemas.microsoft.com/office/drawing/2014/main" id="{4B801394-EE17-4041-A7E5-18F73D69CD8F}"/>
            </a:ext>
          </a:extLst>
        </xdr:cNvPr>
        <xdr:cNvSpPr/>
      </xdr:nvSpPr>
      <xdr:spPr>
        <a:xfrm>
          <a:off x="3793067" y="183093"/>
          <a:ext cx="823383" cy="715433"/>
        </a:xfrm>
        <a:prstGeom prst="roundRect">
          <a:avLst/>
        </a:prstGeom>
        <a:solidFill>
          <a:srgbClr val="2CA884"/>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2</xdr:col>
      <xdr:colOff>682625</xdr:colOff>
      <xdr:row>1</xdr:row>
      <xdr:rowOff>4234</xdr:rowOff>
    </xdr:from>
    <xdr:to>
      <xdr:col>4</xdr:col>
      <xdr:colOff>61383</xdr:colOff>
      <xdr:row>5</xdr:row>
      <xdr:rowOff>42334</xdr:rowOff>
    </xdr:to>
    <xdr:sp macro="" textlink="">
      <xdr:nvSpPr>
        <xdr:cNvPr id="43" name="Rectangle: Rounded Corners 42">
          <a:extLst>
            <a:ext uri="{FF2B5EF4-FFF2-40B4-BE49-F238E27FC236}">
              <a16:creationId xmlns:a16="http://schemas.microsoft.com/office/drawing/2014/main" id="{40DEBE7E-C58F-4A3B-BB99-3EBABE65FC2F}"/>
            </a:ext>
          </a:extLst>
        </xdr:cNvPr>
        <xdr:cNvSpPr/>
      </xdr:nvSpPr>
      <xdr:spPr>
        <a:xfrm>
          <a:off x="2434167" y="168276"/>
          <a:ext cx="823383" cy="715433"/>
        </a:xfrm>
        <a:prstGeom prst="roundRect">
          <a:avLst/>
        </a:prstGeom>
        <a:solidFill>
          <a:srgbClr val="093D33"/>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1</xdr:col>
      <xdr:colOff>942977</xdr:colOff>
      <xdr:row>1</xdr:row>
      <xdr:rowOff>0</xdr:rowOff>
    </xdr:from>
    <xdr:to>
      <xdr:col>2</xdr:col>
      <xdr:colOff>623360</xdr:colOff>
      <xdr:row>5</xdr:row>
      <xdr:rowOff>38100</xdr:rowOff>
    </xdr:to>
    <xdr:sp macro="" textlink="">
      <xdr:nvSpPr>
        <xdr:cNvPr id="42" name="Rectangle: Rounded Corners 41">
          <a:extLst>
            <a:ext uri="{FF2B5EF4-FFF2-40B4-BE49-F238E27FC236}">
              <a16:creationId xmlns:a16="http://schemas.microsoft.com/office/drawing/2014/main" id="{1AE77AF4-7AF7-422C-A7EB-B69D32671E31}"/>
            </a:ext>
          </a:extLst>
        </xdr:cNvPr>
        <xdr:cNvSpPr/>
      </xdr:nvSpPr>
      <xdr:spPr>
        <a:xfrm>
          <a:off x="1551519" y="164042"/>
          <a:ext cx="823383" cy="715433"/>
        </a:xfrm>
        <a:prstGeom prst="roundRect">
          <a:avLst/>
        </a:prstGeom>
        <a:solidFill>
          <a:srgbClr val="093D33"/>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1</xdr:col>
      <xdr:colOff>55036</xdr:colOff>
      <xdr:row>1</xdr:row>
      <xdr:rowOff>6350</xdr:rowOff>
    </xdr:from>
    <xdr:to>
      <xdr:col>1</xdr:col>
      <xdr:colOff>878419</xdr:colOff>
      <xdr:row>5</xdr:row>
      <xdr:rowOff>44450</xdr:rowOff>
    </xdr:to>
    <xdr:sp macro="" textlink="">
      <xdr:nvSpPr>
        <xdr:cNvPr id="4" name="Rectangle: Rounded Corners 3">
          <a:extLst>
            <a:ext uri="{FF2B5EF4-FFF2-40B4-BE49-F238E27FC236}">
              <a16:creationId xmlns:a16="http://schemas.microsoft.com/office/drawing/2014/main" id="{DF9193F1-B04B-4A20-AE36-840C10B3A580}"/>
            </a:ext>
          </a:extLst>
        </xdr:cNvPr>
        <xdr:cNvSpPr/>
      </xdr:nvSpPr>
      <xdr:spPr>
        <a:xfrm>
          <a:off x="663578" y="170392"/>
          <a:ext cx="823383" cy="715433"/>
        </a:xfrm>
        <a:prstGeom prst="roundRect">
          <a:avLst/>
        </a:prstGeom>
        <a:solidFill>
          <a:srgbClr val="093D33"/>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1</xdr:col>
      <xdr:colOff>62690</xdr:colOff>
      <xdr:row>1</xdr:row>
      <xdr:rowOff>81084</xdr:rowOff>
    </xdr:from>
    <xdr:to>
      <xdr:col>1</xdr:col>
      <xdr:colOff>862543</xdr:colOff>
      <xdr:row>4</xdr:row>
      <xdr:rowOff>28901</xdr:rowOff>
    </xdr:to>
    <xdr:sp macro="" textlink="">
      <xdr:nvSpPr>
        <xdr:cNvPr id="5" name="TextBox 4">
          <a:extLst>
            <a:ext uri="{FF2B5EF4-FFF2-40B4-BE49-F238E27FC236}">
              <a16:creationId xmlns:a16="http://schemas.microsoft.com/office/drawing/2014/main" id="{BC41E62D-D25A-4B0A-8FFD-DE6D5274908C}"/>
            </a:ext>
          </a:extLst>
        </xdr:cNvPr>
        <xdr:cNvSpPr txBox="1"/>
      </xdr:nvSpPr>
      <xdr:spPr>
        <a:xfrm>
          <a:off x="671232" y="245126"/>
          <a:ext cx="799853" cy="4611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800" b="1">
              <a:solidFill>
                <a:schemeClr val="bg1"/>
              </a:solidFill>
              <a:latin typeface="Aptos" panose="020B0004020202020204" pitchFamily="34" charset="0"/>
            </a:rPr>
            <a:t>Total Pipeline ARR</a:t>
          </a:r>
        </a:p>
      </xdr:txBody>
    </xdr:sp>
    <xdr:clientData/>
  </xdr:twoCellAnchor>
  <xdr:twoCellAnchor>
    <xdr:from>
      <xdr:col>1</xdr:col>
      <xdr:colOff>107790</xdr:colOff>
      <xdr:row>3</xdr:row>
      <xdr:rowOff>42821</xdr:rowOff>
    </xdr:from>
    <xdr:to>
      <xdr:col>1</xdr:col>
      <xdr:colOff>809627</xdr:colOff>
      <xdr:row>4</xdr:row>
      <xdr:rowOff>112671</xdr:rowOff>
    </xdr:to>
    <xdr:sp macro="" textlink="'Metrics &amp; Statistics'!B3">
      <xdr:nvSpPr>
        <xdr:cNvPr id="6" name="TextBox 5">
          <a:extLst>
            <a:ext uri="{FF2B5EF4-FFF2-40B4-BE49-F238E27FC236}">
              <a16:creationId xmlns:a16="http://schemas.microsoft.com/office/drawing/2014/main" id="{1270EA39-7BEC-4017-B3A9-0C0400A29E45}"/>
            </a:ext>
          </a:extLst>
        </xdr:cNvPr>
        <xdr:cNvSpPr txBox="1"/>
      </xdr:nvSpPr>
      <xdr:spPr>
        <a:xfrm>
          <a:off x="716332" y="556113"/>
          <a:ext cx="701837" cy="2338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36B99C5B-5211-4F8B-96D6-95D5A1D01BBF}" type="TxLink">
            <a:rPr lang="en-US" sz="900" b="0" i="0" u="none" strike="noStrike">
              <a:solidFill>
                <a:schemeClr val="bg1"/>
              </a:solidFill>
              <a:latin typeface="Merriweather Black 18pt" pitchFamily="2" charset="0"/>
              <a:ea typeface="Merriweather Black 18pt" pitchFamily="2" charset="0"/>
              <a:cs typeface="Merriweather Black 18pt" pitchFamily="2" charset="0"/>
            </a:rPr>
            <a:pPr marL="0" indent="0" algn="ctr"/>
            <a:t>$3.5 M</a:t>
          </a:fld>
          <a:endParaRPr lang="en-US" sz="900" b="0" i="0" u="none" strike="noStrike">
            <a:solidFill>
              <a:schemeClr val="bg1"/>
            </a:solidFill>
            <a:latin typeface="Merriweather Black 18pt" pitchFamily="2" charset="0"/>
            <a:ea typeface="Merriweather Black 18pt" pitchFamily="2" charset="0"/>
            <a:cs typeface="Merriweather Black 18pt" pitchFamily="2" charset="0"/>
          </a:endParaRPr>
        </a:p>
      </xdr:txBody>
    </xdr:sp>
    <xdr:clientData/>
  </xdr:twoCellAnchor>
  <xdr:twoCellAnchor>
    <xdr:from>
      <xdr:col>1</xdr:col>
      <xdr:colOff>952176</xdr:colOff>
      <xdr:row>1</xdr:row>
      <xdr:rowOff>72271</xdr:rowOff>
    </xdr:from>
    <xdr:to>
      <xdr:col>2</xdr:col>
      <xdr:colOff>613835</xdr:colOff>
      <xdr:row>3</xdr:row>
      <xdr:rowOff>89956</xdr:rowOff>
    </xdr:to>
    <xdr:sp macro="" textlink="">
      <xdr:nvSpPr>
        <xdr:cNvPr id="8" name="TextBox 7">
          <a:extLst>
            <a:ext uri="{FF2B5EF4-FFF2-40B4-BE49-F238E27FC236}">
              <a16:creationId xmlns:a16="http://schemas.microsoft.com/office/drawing/2014/main" id="{C4A7AC3D-D6A0-4FF8-9F4D-D9653FD70B9B}"/>
            </a:ext>
          </a:extLst>
        </xdr:cNvPr>
        <xdr:cNvSpPr txBox="1"/>
      </xdr:nvSpPr>
      <xdr:spPr>
        <a:xfrm>
          <a:off x="1560718" y="236313"/>
          <a:ext cx="804659" cy="3669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800" b="1">
              <a:solidFill>
                <a:schemeClr val="bg1"/>
              </a:solidFill>
              <a:latin typeface="Aptos" panose="020B0004020202020204" pitchFamily="34" charset="0"/>
            </a:rPr>
            <a:t>Average</a:t>
          </a:r>
          <a:r>
            <a:rPr lang="en-US" sz="800" b="1" baseline="0">
              <a:solidFill>
                <a:schemeClr val="bg1"/>
              </a:solidFill>
              <a:latin typeface="Aptos" panose="020B0004020202020204" pitchFamily="34" charset="0"/>
            </a:rPr>
            <a:t> Pipeline ARR</a:t>
          </a:r>
          <a:endParaRPr lang="en-US" sz="800" b="1">
            <a:solidFill>
              <a:schemeClr val="bg1"/>
            </a:solidFill>
            <a:latin typeface="Aptos" panose="020B0004020202020204" pitchFamily="34" charset="0"/>
          </a:endParaRPr>
        </a:p>
      </xdr:txBody>
    </xdr:sp>
    <xdr:clientData/>
  </xdr:twoCellAnchor>
  <xdr:twoCellAnchor>
    <xdr:from>
      <xdr:col>1</xdr:col>
      <xdr:colOff>975927</xdr:colOff>
      <xdr:row>3</xdr:row>
      <xdr:rowOff>20357</xdr:rowOff>
    </xdr:from>
    <xdr:to>
      <xdr:col>2</xdr:col>
      <xdr:colOff>545045</xdr:colOff>
      <xdr:row>4</xdr:row>
      <xdr:rowOff>100542</xdr:rowOff>
    </xdr:to>
    <xdr:sp macro="" textlink="'Metrics &amp; Statistics'!B21">
      <xdr:nvSpPr>
        <xdr:cNvPr id="9" name="TextBox 8">
          <a:extLst>
            <a:ext uri="{FF2B5EF4-FFF2-40B4-BE49-F238E27FC236}">
              <a16:creationId xmlns:a16="http://schemas.microsoft.com/office/drawing/2014/main" id="{CBABB9E9-2418-4AD9-8BDB-3CA36CB0BD60}"/>
            </a:ext>
          </a:extLst>
        </xdr:cNvPr>
        <xdr:cNvSpPr txBox="1"/>
      </xdr:nvSpPr>
      <xdr:spPr>
        <a:xfrm>
          <a:off x="1584469" y="533649"/>
          <a:ext cx="712118" cy="2442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39E5FA01-BBEC-49F1-9E73-5D326376F25C}" type="TxLink">
            <a:rPr lang="en-US" sz="900" b="0" i="0" u="none" strike="noStrike">
              <a:solidFill>
                <a:schemeClr val="bg1"/>
              </a:solidFill>
              <a:latin typeface="Merriweather Black 18pt" pitchFamily="2" charset="0"/>
              <a:ea typeface="Merriweather Black 18pt" pitchFamily="2" charset="0"/>
              <a:cs typeface="Merriweather Black 18pt" pitchFamily="2" charset="0"/>
            </a:rPr>
            <a:pPr marL="0" indent="0" algn="ctr"/>
            <a:t>$127K</a:t>
          </a:fld>
          <a:endParaRPr lang="en-US" sz="900" b="0" i="0" u="none" strike="noStrike">
            <a:solidFill>
              <a:schemeClr val="bg1"/>
            </a:solidFill>
            <a:latin typeface="Merriweather Black 18pt" pitchFamily="2" charset="0"/>
            <a:ea typeface="Merriweather Black 18pt" pitchFamily="2" charset="0"/>
            <a:cs typeface="Merriweather Black 18pt" pitchFamily="2" charset="0"/>
          </a:endParaRPr>
        </a:p>
      </xdr:txBody>
    </xdr:sp>
    <xdr:clientData/>
  </xdr:twoCellAnchor>
  <xdr:twoCellAnchor>
    <xdr:from>
      <xdr:col>2</xdr:col>
      <xdr:colOff>578910</xdr:colOff>
      <xdr:row>1</xdr:row>
      <xdr:rowOff>94193</xdr:rowOff>
    </xdr:from>
    <xdr:to>
      <xdr:col>4</xdr:col>
      <xdr:colOff>153458</xdr:colOff>
      <xdr:row>3</xdr:row>
      <xdr:rowOff>84667</xdr:rowOff>
    </xdr:to>
    <xdr:sp macro="" textlink="">
      <xdr:nvSpPr>
        <xdr:cNvPr id="11" name="TextBox 10">
          <a:extLst>
            <a:ext uri="{FF2B5EF4-FFF2-40B4-BE49-F238E27FC236}">
              <a16:creationId xmlns:a16="http://schemas.microsoft.com/office/drawing/2014/main" id="{BCC8D02D-408C-47F0-85A1-1224BC39A80E}"/>
            </a:ext>
          </a:extLst>
        </xdr:cNvPr>
        <xdr:cNvSpPr txBox="1"/>
      </xdr:nvSpPr>
      <xdr:spPr>
        <a:xfrm>
          <a:off x="2330452" y="258235"/>
          <a:ext cx="1019173" cy="3397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800" b="1">
              <a:solidFill>
                <a:schemeClr val="bg1"/>
              </a:solidFill>
              <a:latin typeface="Aptos" panose="020B0004020202020204" pitchFamily="34" charset="0"/>
            </a:rPr>
            <a:t>Average</a:t>
          </a:r>
          <a:r>
            <a:rPr lang="en-US" sz="800" b="1" baseline="0">
              <a:solidFill>
                <a:schemeClr val="bg1"/>
              </a:solidFill>
              <a:latin typeface="Aptos" panose="020B0004020202020204" pitchFamily="34" charset="0"/>
            </a:rPr>
            <a:t> Closed Won ARR</a:t>
          </a:r>
          <a:endParaRPr lang="en-US" sz="800" b="1">
            <a:solidFill>
              <a:schemeClr val="bg1"/>
            </a:solidFill>
            <a:latin typeface="Aptos" panose="020B0004020202020204" pitchFamily="34" charset="0"/>
          </a:endParaRPr>
        </a:p>
      </xdr:txBody>
    </xdr:sp>
    <xdr:clientData/>
  </xdr:twoCellAnchor>
  <xdr:twoCellAnchor>
    <xdr:from>
      <xdr:col>2</xdr:col>
      <xdr:colOff>776004</xdr:colOff>
      <xdr:row>3</xdr:row>
      <xdr:rowOff>45263</xdr:rowOff>
    </xdr:from>
    <xdr:to>
      <xdr:col>3</xdr:col>
      <xdr:colOff>465667</xdr:colOff>
      <xdr:row>4</xdr:row>
      <xdr:rowOff>84666</xdr:rowOff>
    </xdr:to>
    <xdr:sp macro="" textlink="'Metrics &amp; Statistics'!B19">
      <xdr:nvSpPr>
        <xdr:cNvPr id="22" name="TextBox 11">
          <a:extLst>
            <a:ext uri="{FF2B5EF4-FFF2-40B4-BE49-F238E27FC236}">
              <a16:creationId xmlns:a16="http://schemas.microsoft.com/office/drawing/2014/main" id="{61B6316D-A155-4628-843E-AC640B02C371}"/>
            </a:ext>
          </a:extLst>
        </xdr:cNvPr>
        <xdr:cNvSpPr txBox="1"/>
      </xdr:nvSpPr>
      <xdr:spPr>
        <a:xfrm>
          <a:off x="2527546" y="558555"/>
          <a:ext cx="525746" cy="2034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5C7FF598-8DF5-45BE-A446-B4A7D1549F1E}" type="TxLink">
            <a:rPr lang="en-US" sz="900" b="0" i="0" u="none" strike="noStrike">
              <a:solidFill>
                <a:schemeClr val="bg1"/>
              </a:solidFill>
              <a:latin typeface="Merriweather Black 18pt" pitchFamily="2" charset="0"/>
              <a:ea typeface="Merriweather Black 18pt" pitchFamily="2" charset="0"/>
              <a:cs typeface="Merriweather Black 18pt" pitchFamily="2" charset="0"/>
            </a:rPr>
            <a:pPr marL="0" indent="0" algn="ctr"/>
            <a:t>$62K</a:t>
          </a:fld>
          <a:endParaRPr lang="en-US" sz="900" b="0" i="0" u="none" strike="noStrike">
            <a:solidFill>
              <a:schemeClr val="bg1"/>
            </a:solidFill>
            <a:latin typeface="Merriweather Black 18pt" pitchFamily="2" charset="0"/>
            <a:ea typeface="Merriweather Black 18pt" pitchFamily="2" charset="0"/>
            <a:cs typeface="Merriweather Black 18pt" pitchFamily="2" charset="0"/>
          </a:endParaRPr>
        </a:p>
      </xdr:txBody>
    </xdr:sp>
    <xdr:clientData/>
  </xdr:twoCellAnchor>
  <xdr:twoCellAnchor>
    <xdr:from>
      <xdr:col>0</xdr:col>
      <xdr:colOff>592666</xdr:colOff>
      <xdr:row>5</xdr:row>
      <xdr:rowOff>131757</xdr:rowOff>
    </xdr:from>
    <xdr:to>
      <xdr:col>4</xdr:col>
      <xdr:colOff>148166</xdr:colOff>
      <xdr:row>20</xdr:row>
      <xdr:rowOff>77863</xdr:rowOff>
    </xdr:to>
    <xdr:sp macro="" textlink="">
      <xdr:nvSpPr>
        <xdr:cNvPr id="18" name="Rectangle: Rounded Corners 17">
          <a:extLst>
            <a:ext uri="{FF2B5EF4-FFF2-40B4-BE49-F238E27FC236}">
              <a16:creationId xmlns:a16="http://schemas.microsoft.com/office/drawing/2014/main" id="{128CB555-9AD7-4B14-B62C-79A68AA1B9A7}"/>
            </a:ext>
          </a:extLst>
        </xdr:cNvPr>
        <xdr:cNvSpPr/>
      </xdr:nvSpPr>
      <xdr:spPr>
        <a:xfrm>
          <a:off x="592666" y="970864"/>
          <a:ext cx="2753179" cy="2681142"/>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587376</xdr:colOff>
      <xdr:row>6</xdr:row>
      <xdr:rowOff>159809</xdr:rowOff>
    </xdr:from>
    <xdr:to>
      <xdr:col>4</xdr:col>
      <xdr:colOff>121709</xdr:colOff>
      <xdr:row>19</xdr:row>
      <xdr:rowOff>132293</xdr:rowOff>
    </xdr:to>
    <xdr:graphicFrame macro="">
      <xdr:nvGraphicFramePr>
        <xdr:cNvPr id="14" name="Chart 13">
          <a:extLst>
            <a:ext uri="{FF2B5EF4-FFF2-40B4-BE49-F238E27FC236}">
              <a16:creationId xmlns:a16="http://schemas.microsoft.com/office/drawing/2014/main" id="{DD0122C8-37D1-4FAE-84D8-B6C46B818C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232833</xdr:colOff>
      <xdr:row>1</xdr:row>
      <xdr:rowOff>29634</xdr:rowOff>
    </xdr:from>
    <xdr:to>
      <xdr:col>5</xdr:col>
      <xdr:colOff>862540</xdr:colOff>
      <xdr:row>3</xdr:row>
      <xdr:rowOff>158750</xdr:rowOff>
    </xdr:to>
    <xdr:sp macro="" textlink="">
      <xdr:nvSpPr>
        <xdr:cNvPr id="29" name="TextBox 28">
          <a:extLst>
            <a:ext uri="{FF2B5EF4-FFF2-40B4-BE49-F238E27FC236}">
              <a16:creationId xmlns:a16="http://schemas.microsoft.com/office/drawing/2014/main" id="{585FC219-88C6-46F0-81FD-E257A49356AD}"/>
            </a:ext>
          </a:extLst>
        </xdr:cNvPr>
        <xdr:cNvSpPr txBox="1"/>
      </xdr:nvSpPr>
      <xdr:spPr>
        <a:xfrm>
          <a:off x="3429000" y="193676"/>
          <a:ext cx="915457" cy="4783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800" b="1">
              <a:solidFill>
                <a:schemeClr val="bg1"/>
              </a:solidFill>
              <a:latin typeface="Aptos" panose="020B0004020202020204" pitchFamily="34" charset="0"/>
            </a:rPr>
            <a:t>Pipeline</a:t>
          </a:r>
          <a:r>
            <a:rPr lang="en-US" sz="800" b="1" baseline="0">
              <a:solidFill>
                <a:schemeClr val="bg1"/>
              </a:solidFill>
              <a:latin typeface="Aptos" panose="020B0004020202020204" pitchFamily="34" charset="0"/>
            </a:rPr>
            <a:t> Coverage Ratio</a:t>
          </a:r>
          <a:endParaRPr lang="en-US" sz="800" b="1">
            <a:solidFill>
              <a:schemeClr val="bg1"/>
            </a:solidFill>
            <a:latin typeface="Aptos" panose="020B0004020202020204" pitchFamily="34" charset="0"/>
          </a:endParaRPr>
        </a:p>
      </xdr:txBody>
    </xdr:sp>
    <xdr:clientData/>
  </xdr:twoCellAnchor>
  <xdr:twoCellAnchor>
    <xdr:from>
      <xdr:col>5</xdr:col>
      <xdr:colOff>21167</xdr:colOff>
      <xdr:row>3</xdr:row>
      <xdr:rowOff>42334</xdr:rowOff>
    </xdr:from>
    <xdr:to>
      <xdr:col>5</xdr:col>
      <xdr:colOff>777876</xdr:colOff>
      <xdr:row>4</xdr:row>
      <xdr:rowOff>127000</xdr:rowOff>
    </xdr:to>
    <xdr:sp macro="" textlink="'Metrics &amp; Statistics'!B6">
      <xdr:nvSpPr>
        <xdr:cNvPr id="38" name="TextBox 37">
          <a:extLst>
            <a:ext uri="{FF2B5EF4-FFF2-40B4-BE49-F238E27FC236}">
              <a16:creationId xmlns:a16="http://schemas.microsoft.com/office/drawing/2014/main" id="{AD5C6112-17E5-F77E-A42C-26CDECFCB6F1}"/>
            </a:ext>
          </a:extLst>
        </xdr:cNvPr>
        <xdr:cNvSpPr txBox="1"/>
      </xdr:nvSpPr>
      <xdr:spPr>
        <a:xfrm>
          <a:off x="3825875" y="555626"/>
          <a:ext cx="756709" cy="2487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D905C79-B21D-4646-BC2D-9F24FC50AEBB}" type="TxLink">
            <a:rPr lang="en-US" sz="900" b="1" i="0" u="none" strike="noStrike">
              <a:solidFill>
                <a:schemeClr val="bg1"/>
              </a:solidFill>
              <a:latin typeface="Merriweather Black 18pt" pitchFamily="2" charset="0"/>
              <a:ea typeface="Merriweather Black 18pt" pitchFamily="2" charset="0"/>
              <a:cs typeface="Merriweather Black 18pt" pitchFamily="2" charset="0"/>
            </a:rPr>
            <a:pPr algn="ctr"/>
            <a:t>2.9x</a:t>
          </a:fld>
          <a:endParaRPr lang="en-US" sz="1100">
            <a:solidFill>
              <a:schemeClr val="bg1"/>
            </a:solidFill>
            <a:latin typeface="Merriweather Black 18pt" pitchFamily="2" charset="0"/>
            <a:ea typeface="Merriweather Black 18pt" pitchFamily="2" charset="0"/>
            <a:cs typeface="Merriweather Black 18pt" pitchFamily="2" charset="0"/>
          </a:endParaRPr>
        </a:p>
      </xdr:txBody>
    </xdr:sp>
    <xdr:clientData/>
  </xdr:twoCellAnchor>
  <xdr:twoCellAnchor>
    <xdr:from>
      <xdr:col>5</xdr:col>
      <xdr:colOff>966259</xdr:colOff>
      <xdr:row>1</xdr:row>
      <xdr:rowOff>23285</xdr:rowOff>
    </xdr:from>
    <xdr:to>
      <xdr:col>6</xdr:col>
      <xdr:colOff>641350</xdr:colOff>
      <xdr:row>5</xdr:row>
      <xdr:rowOff>61385</xdr:rowOff>
    </xdr:to>
    <xdr:sp macro="" textlink="">
      <xdr:nvSpPr>
        <xdr:cNvPr id="45" name="Rectangle: Rounded Corners 44">
          <a:extLst>
            <a:ext uri="{FF2B5EF4-FFF2-40B4-BE49-F238E27FC236}">
              <a16:creationId xmlns:a16="http://schemas.microsoft.com/office/drawing/2014/main" id="{9E364A89-AFD2-45D9-B283-C198DC5C347A}"/>
            </a:ext>
          </a:extLst>
        </xdr:cNvPr>
        <xdr:cNvSpPr/>
      </xdr:nvSpPr>
      <xdr:spPr>
        <a:xfrm>
          <a:off x="4770967" y="187327"/>
          <a:ext cx="823383" cy="715433"/>
        </a:xfrm>
        <a:prstGeom prst="roundRect">
          <a:avLst/>
        </a:prstGeom>
        <a:solidFill>
          <a:srgbClr val="2CA884"/>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5</xdr:col>
      <xdr:colOff>989011</xdr:colOff>
      <xdr:row>1</xdr:row>
      <xdr:rowOff>139697</xdr:rowOff>
    </xdr:from>
    <xdr:to>
      <xdr:col>6</xdr:col>
      <xdr:colOff>603250</xdr:colOff>
      <xdr:row>2</xdr:row>
      <xdr:rowOff>158747</xdr:rowOff>
    </xdr:to>
    <xdr:sp macro="" textlink="">
      <xdr:nvSpPr>
        <xdr:cNvPr id="30" name="TextBox 29">
          <a:extLst>
            <a:ext uri="{FF2B5EF4-FFF2-40B4-BE49-F238E27FC236}">
              <a16:creationId xmlns:a16="http://schemas.microsoft.com/office/drawing/2014/main" id="{EC94401F-B85B-40F0-8AB9-A9ADF2FCDED0}"/>
            </a:ext>
          </a:extLst>
        </xdr:cNvPr>
        <xdr:cNvSpPr txBox="1"/>
      </xdr:nvSpPr>
      <xdr:spPr>
        <a:xfrm>
          <a:off x="4470928" y="303739"/>
          <a:ext cx="762530" cy="2042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800" b="1">
              <a:solidFill>
                <a:schemeClr val="bg1"/>
              </a:solidFill>
              <a:latin typeface="Aptos" panose="020B0004020202020204" pitchFamily="34" charset="0"/>
            </a:rPr>
            <a:t>Win</a:t>
          </a:r>
          <a:r>
            <a:rPr lang="en-US" sz="800" b="1" baseline="0">
              <a:solidFill>
                <a:schemeClr val="bg1"/>
              </a:solidFill>
              <a:latin typeface="Aptos" panose="020B0004020202020204" pitchFamily="34" charset="0"/>
            </a:rPr>
            <a:t> Rate</a:t>
          </a:r>
          <a:endParaRPr lang="en-US" sz="800" b="1">
            <a:solidFill>
              <a:schemeClr val="bg1"/>
            </a:solidFill>
            <a:latin typeface="Aptos" panose="020B0004020202020204" pitchFamily="34" charset="0"/>
          </a:endParaRPr>
        </a:p>
      </xdr:txBody>
    </xdr:sp>
    <xdr:clientData/>
  </xdr:twoCellAnchor>
  <xdr:oneCellAnchor>
    <xdr:from>
      <xdr:col>6</xdr:col>
      <xdr:colOff>5290</xdr:colOff>
      <xdr:row>3</xdr:row>
      <xdr:rowOff>42334</xdr:rowOff>
    </xdr:from>
    <xdr:ext cx="451983" cy="237373"/>
    <xdr:sp macro="" textlink="'Metrics &amp; Statistics'!C29">
      <xdr:nvSpPr>
        <xdr:cNvPr id="39" name="TextBox 38">
          <a:extLst>
            <a:ext uri="{FF2B5EF4-FFF2-40B4-BE49-F238E27FC236}">
              <a16:creationId xmlns:a16="http://schemas.microsoft.com/office/drawing/2014/main" id="{8C50C1F8-E308-6E87-E4C5-C962647FCB2A}"/>
            </a:ext>
          </a:extLst>
        </xdr:cNvPr>
        <xdr:cNvSpPr txBox="1"/>
      </xdr:nvSpPr>
      <xdr:spPr>
        <a:xfrm>
          <a:off x="4958290" y="555626"/>
          <a:ext cx="451983" cy="2373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45B2C69D-B383-48B3-8681-55163937CF0D}" type="TxLink">
            <a:rPr lang="en-US" sz="900" b="1" i="0" u="none" strike="noStrike">
              <a:solidFill>
                <a:schemeClr val="bg1"/>
              </a:solidFill>
              <a:latin typeface="Merriweather Black 18pt" pitchFamily="2" charset="0"/>
              <a:ea typeface="Merriweather Black 18pt" pitchFamily="2" charset="0"/>
              <a:cs typeface="Merriweather Black 18pt" pitchFamily="2" charset="0"/>
            </a:rPr>
            <a:pPr/>
            <a:t>67%</a:t>
          </a:fld>
          <a:endParaRPr lang="en-US" sz="1050" b="1">
            <a:solidFill>
              <a:schemeClr val="bg1"/>
            </a:solidFill>
            <a:latin typeface="Merriweather Black 18pt" pitchFamily="2" charset="0"/>
            <a:ea typeface="Merriweather Black 18pt" pitchFamily="2" charset="0"/>
            <a:cs typeface="Merriweather Black 18pt" pitchFamily="2" charset="0"/>
          </a:endParaRPr>
        </a:p>
      </xdr:txBody>
    </xdr:sp>
    <xdr:clientData/>
  </xdr:oneCellAnchor>
  <xdr:twoCellAnchor>
    <xdr:from>
      <xdr:col>6</xdr:col>
      <xdr:colOff>822325</xdr:colOff>
      <xdr:row>1</xdr:row>
      <xdr:rowOff>22226</xdr:rowOff>
    </xdr:from>
    <xdr:to>
      <xdr:col>7</xdr:col>
      <xdr:colOff>545041</xdr:colOff>
      <xdr:row>5</xdr:row>
      <xdr:rowOff>60326</xdr:rowOff>
    </xdr:to>
    <xdr:sp macro="" textlink="">
      <xdr:nvSpPr>
        <xdr:cNvPr id="46" name="Rectangle: Rounded Corners 45">
          <a:extLst>
            <a:ext uri="{FF2B5EF4-FFF2-40B4-BE49-F238E27FC236}">
              <a16:creationId xmlns:a16="http://schemas.microsoft.com/office/drawing/2014/main" id="{7D0E3C08-9CC9-4B81-B16D-9CF66AF62D06}"/>
            </a:ext>
          </a:extLst>
        </xdr:cNvPr>
        <xdr:cNvSpPr/>
      </xdr:nvSpPr>
      <xdr:spPr>
        <a:xfrm>
          <a:off x="5775325" y="186268"/>
          <a:ext cx="823383" cy="715433"/>
        </a:xfrm>
        <a:prstGeom prst="roundRect">
          <a:avLst/>
        </a:prstGeom>
        <a:solidFill>
          <a:srgbClr val="2CA884"/>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6</xdr:col>
      <xdr:colOff>808038</xdr:colOff>
      <xdr:row>1</xdr:row>
      <xdr:rowOff>80434</xdr:rowOff>
    </xdr:from>
    <xdr:to>
      <xdr:col>7</xdr:col>
      <xdr:colOff>582085</xdr:colOff>
      <xdr:row>3</xdr:row>
      <xdr:rowOff>142875</xdr:rowOff>
    </xdr:to>
    <xdr:sp macro="" textlink="">
      <xdr:nvSpPr>
        <xdr:cNvPr id="33" name="TextBox 32">
          <a:extLst>
            <a:ext uri="{FF2B5EF4-FFF2-40B4-BE49-F238E27FC236}">
              <a16:creationId xmlns:a16="http://schemas.microsoft.com/office/drawing/2014/main" id="{41D7E0DE-2928-4AB0-9802-BB4B81C6A0F7}"/>
            </a:ext>
          </a:extLst>
        </xdr:cNvPr>
        <xdr:cNvSpPr txBox="1"/>
      </xdr:nvSpPr>
      <xdr:spPr>
        <a:xfrm>
          <a:off x="5761038" y="244476"/>
          <a:ext cx="874714" cy="4116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800" b="1">
              <a:solidFill>
                <a:schemeClr val="bg1"/>
              </a:solidFill>
              <a:latin typeface="Aptos" panose="020B0004020202020204" pitchFamily="34" charset="0"/>
            </a:rPr>
            <a:t>Average</a:t>
          </a:r>
          <a:r>
            <a:rPr lang="en-US" sz="800" b="1" baseline="0">
              <a:solidFill>
                <a:schemeClr val="bg1"/>
              </a:solidFill>
              <a:latin typeface="Aptos" panose="020B0004020202020204" pitchFamily="34" charset="0"/>
            </a:rPr>
            <a:t> Sales Cycle Days</a:t>
          </a:r>
          <a:endParaRPr lang="en-US" sz="800" b="1">
            <a:solidFill>
              <a:schemeClr val="bg1"/>
            </a:solidFill>
            <a:latin typeface="Aptos" panose="020B0004020202020204" pitchFamily="34" charset="0"/>
          </a:endParaRPr>
        </a:p>
      </xdr:txBody>
    </xdr:sp>
    <xdr:clientData/>
  </xdr:twoCellAnchor>
  <xdr:twoCellAnchor>
    <xdr:from>
      <xdr:col>6</xdr:col>
      <xdr:colOff>952500</xdr:colOff>
      <xdr:row>3</xdr:row>
      <xdr:rowOff>58207</xdr:rowOff>
    </xdr:from>
    <xdr:to>
      <xdr:col>7</xdr:col>
      <xdr:colOff>380999</xdr:colOff>
      <xdr:row>4</xdr:row>
      <xdr:rowOff>137583</xdr:rowOff>
    </xdr:to>
    <xdr:sp macro="" textlink="'Metrics &amp; Statistics'!B25">
      <xdr:nvSpPr>
        <xdr:cNvPr id="40" name="TextBox 39">
          <a:extLst>
            <a:ext uri="{FF2B5EF4-FFF2-40B4-BE49-F238E27FC236}">
              <a16:creationId xmlns:a16="http://schemas.microsoft.com/office/drawing/2014/main" id="{8C59D4F2-C352-D7B9-F1C4-89EF24A375BF}"/>
            </a:ext>
          </a:extLst>
        </xdr:cNvPr>
        <xdr:cNvSpPr txBox="1"/>
      </xdr:nvSpPr>
      <xdr:spPr>
        <a:xfrm>
          <a:off x="5905500" y="571499"/>
          <a:ext cx="529166" cy="2434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D36E277-C405-4E77-BC4D-CE67DE0C4151}" type="TxLink">
            <a:rPr lang="en-US" sz="900" b="1" i="0" u="none" strike="noStrike">
              <a:solidFill>
                <a:schemeClr val="bg1"/>
              </a:solidFill>
              <a:latin typeface="Merriweather Black 18pt" pitchFamily="2" charset="0"/>
              <a:ea typeface="Merriweather Black 18pt" pitchFamily="2" charset="0"/>
              <a:cs typeface="Merriweather Black 18pt" pitchFamily="2" charset="0"/>
            </a:rPr>
            <a:pPr algn="ctr"/>
            <a:t> 55 </a:t>
          </a:fld>
          <a:endParaRPr lang="en-US" sz="1050" b="1">
            <a:solidFill>
              <a:schemeClr val="bg1"/>
            </a:solidFill>
            <a:latin typeface="Merriweather Black 18pt" pitchFamily="2" charset="0"/>
            <a:ea typeface="Merriweather Black 18pt" pitchFamily="2" charset="0"/>
            <a:cs typeface="Merriweather Black 18pt" pitchFamily="2" charset="0"/>
          </a:endParaRPr>
        </a:p>
      </xdr:txBody>
    </xdr:sp>
    <xdr:clientData/>
  </xdr:twoCellAnchor>
  <xdr:twoCellAnchor>
    <xdr:from>
      <xdr:col>7</xdr:col>
      <xdr:colOff>624416</xdr:colOff>
      <xdr:row>0</xdr:row>
      <xdr:rowOff>68793</xdr:rowOff>
    </xdr:from>
    <xdr:to>
      <xdr:col>8</xdr:col>
      <xdr:colOff>1280583</xdr:colOff>
      <xdr:row>6</xdr:row>
      <xdr:rowOff>26458</xdr:rowOff>
    </xdr:to>
    <xdr:graphicFrame macro="">
      <xdr:nvGraphicFramePr>
        <xdr:cNvPr id="47" name="Chart 46">
          <a:extLst>
            <a:ext uri="{FF2B5EF4-FFF2-40B4-BE49-F238E27FC236}">
              <a16:creationId xmlns:a16="http://schemas.microsoft.com/office/drawing/2014/main" id="{847C7E39-BF0D-4E01-8E0D-3937BE264F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579967</xdr:colOff>
      <xdr:row>6</xdr:row>
      <xdr:rowOff>68791</xdr:rowOff>
    </xdr:from>
    <xdr:to>
      <xdr:col>8</xdr:col>
      <xdr:colOff>1254125</xdr:colOff>
      <xdr:row>8</xdr:row>
      <xdr:rowOff>71968</xdr:rowOff>
    </xdr:to>
    <xdr:sp macro="" textlink="">
      <xdr:nvSpPr>
        <xdr:cNvPr id="48" name="Rectangle: Rounded Corners 47">
          <a:extLst>
            <a:ext uri="{FF2B5EF4-FFF2-40B4-BE49-F238E27FC236}">
              <a16:creationId xmlns:a16="http://schemas.microsoft.com/office/drawing/2014/main" id="{64A67248-6149-4586-9831-CC4C79066439}"/>
            </a:ext>
          </a:extLst>
        </xdr:cNvPr>
        <xdr:cNvSpPr/>
      </xdr:nvSpPr>
      <xdr:spPr>
        <a:xfrm>
          <a:off x="3776134" y="1074208"/>
          <a:ext cx="4632324" cy="331260"/>
        </a:xfrm>
        <a:prstGeom prst="roundRect">
          <a:avLst/>
        </a:prstGeom>
        <a:solidFill>
          <a:srgbClr val="093D33"/>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8</xdr:col>
      <xdr:colOff>548744</xdr:colOff>
      <xdr:row>0</xdr:row>
      <xdr:rowOff>121709</xdr:rowOff>
    </xdr:from>
    <xdr:to>
      <xdr:col>9</xdr:col>
      <xdr:colOff>14816</xdr:colOff>
      <xdr:row>4</xdr:row>
      <xdr:rowOff>37042</xdr:rowOff>
    </xdr:to>
    <xdr:sp macro="" textlink="">
      <xdr:nvSpPr>
        <xdr:cNvPr id="50" name="TextBox 49">
          <a:extLst>
            <a:ext uri="{FF2B5EF4-FFF2-40B4-BE49-F238E27FC236}">
              <a16:creationId xmlns:a16="http://schemas.microsoft.com/office/drawing/2014/main" id="{D9FF5BFB-6F95-4449-8052-3F19E859C58D}"/>
            </a:ext>
          </a:extLst>
        </xdr:cNvPr>
        <xdr:cNvSpPr txBox="1"/>
      </xdr:nvSpPr>
      <xdr:spPr>
        <a:xfrm>
          <a:off x="7703077" y="121709"/>
          <a:ext cx="762531" cy="5926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800" b="1">
              <a:solidFill>
                <a:srgbClr val="2CA884"/>
              </a:solidFill>
              <a:latin typeface="Aptos" panose="020B0004020202020204" pitchFamily="34" charset="0"/>
            </a:rPr>
            <a:t>Opps creation</a:t>
          </a:r>
          <a:r>
            <a:rPr lang="en-US" sz="800" b="1" baseline="0">
              <a:solidFill>
                <a:srgbClr val="2CA884"/>
              </a:solidFill>
              <a:latin typeface="Aptos" panose="020B0004020202020204" pitchFamily="34" charset="0"/>
            </a:rPr>
            <a:t> Trend</a:t>
          </a:r>
          <a:endParaRPr lang="en-US" sz="800" b="1">
            <a:solidFill>
              <a:srgbClr val="2CA884"/>
            </a:solidFill>
            <a:latin typeface="Aptos" panose="020B0004020202020204" pitchFamily="34" charset="0"/>
          </a:endParaRPr>
        </a:p>
      </xdr:txBody>
    </xdr:sp>
    <xdr:clientData/>
  </xdr:twoCellAnchor>
  <xdr:twoCellAnchor>
    <xdr:from>
      <xdr:col>5</xdr:col>
      <xdr:colOff>39684</xdr:colOff>
      <xdr:row>6</xdr:row>
      <xdr:rowOff>84665</xdr:rowOff>
    </xdr:from>
    <xdr:to>
      <xdr:col>7</xdr:col>
      <xdr:colOff>95249</xdr:colOff>
      <xdr:row>8</xdr:row>
      <xdr:rowOff>21165</xdr:rowOff>
    </xdr:to>
    <xdr:sp macro="" textlink="">
      <xdr:nvSpPr>
        <xdr:cNvPr id="51" name="TextBox 50">
          <a:extLst>
            <a:ext uri="{FF2B5EF4-FFF2-40B4-BE49-F238E27FC236}">
              <a16:creationId xmlns:a16="http://schemas.microsoft.com/office/drawing/2014/main" id="{C4EBC715-02EF-4FC1-A790-F4997DCF82BE}"/>
            </a:ext>
          </a:extLst>
        </xdr:cNvPr>
        <xdr:cNvSpPr txBox="1"/>
      </xdr:nvSpPr>
      <xdr:spPr>
        <a:xfrm>
          <a:off x="3675059" y="1090082"/>
          <a:ext cx="2304523" cy="2645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50" b="1">
              <a:solidFill>
                <a:schemeClr val="bg1"/>
              </a:solidFill>
              <a:latin typeface="Merriweather Black 18pt" pitchFamily="2" charset="0"/>
              <a:ea typeface="Merriweather Black 18pt" pitchFamily="2" charset="0"/>
              <a:cs typeface="Merriweather Black 18pt" pitchFamily="2" charset="0"/>
            </a:rPr>
            <a:t>Past Due % of Pipeline ARR: </a:t>
          </a:r>
        </a:p>
      </xdr:txBody>
    </xdr:sp>
    <xdr:clientData/>
  </xdr:twoCellAnchor>
  <xdr:twoCellAnchor>
    <xdr:from>
      <xdr:col>6</xdr:col>
      <xdr:colOff>1010708</xdr:colOff>
      <xdr:row>6</xdr:row>
      <xdr:rowOff>79372</xdr:rowOff>
    </xdr:from>
    <xdr:to>
      <xdr:col>7</xdr:col>
      <xdr:colOff>418041</xdr:colOff>
      <xdr:row>8</xdr:row>
      <xdr:rowOff>63498</xdr:rowOff>
    </xdr:to>
    <xdr:sp macro="" textlink="'Metrics &amp; Statistics'!F21">
      <xdr:nvSpPr>
        <xdr:cNvPr id="52" name="TextBox 51">
          <a:extLst>
            <a:ext uri="{FF2B5EF4-FFF2-40B4-BE49-F238E27FC236}">
              <a16:creationId xmlns:a16="http://schemas.microsoft.com/office/drawing/2014/main" id="{5D9A342B-4BB9-300D-F3CC-3EBFB6859E80}"/>
            </a:ext>
          </a:extLst>
        </xdr:cNvPr>
        <xdr:cNvSpPr txBox="1"/>
      </xdr:nvSpPr>
      <xdr:spPr>
        <a:xfrm>
          <a:off x="5794375" y="1084789"/>
          <a:ext cx="507999" cy="3122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B5226FA-4919-463C-83C7-3157784237F0}" type="TxLink">
            <a:rPr lang="en-US" sz="1100" b="0" i="0" u="none" strike="noStrike">
              <a:solidFill>
                <a:srgbClr val="FF7C80"/>
              </a:solidFill>
              <a:latin typeface="Merriweather Black 18pt" pitchFamily="2" charset="0"/>
              <a:ea typeface="Merriweather Black 18pt" pitchFamily="2" charset="0"/>
              <a:cs typeface="Merriweather Black 18pt" pitchFamily="2" charset="0"/>
            </a:rPr>
            <a:pPr/>
            <a:t>43%</a:t>
          </a:fld>
          <a:endParaRPr lang="en-US" sz="1400">
            <a:solidFill>
              <a:srgbClr val="FF7C80"/>
            </a:solidFill>
            <a:latin typeface="Merriweather Black 18pt" pitchFamily="2" charset="0"/>
            <a:ea typeface="Merriweather Black 18pt" pitchFamily="2" charset="0"/>
            <a:cs typeface="Merriweather Black 18pt" pitchFamily="2" charset="0"/>
          </a:endParaRPr>
        </a:p>
      </xdr:txBody>
    </xdr:sp>
    <xdr:clientData/>
  </xdr:twoCellAnchor>
  <xdr:twoCellAnchor>
    <xdr:from>
      <xdr:col>7</xdr:col>
      <xdr:colOff>317501</xdr:colOff>
      <xdr:row>6</xdr:row>
      <xdr:rowOff>84666</xdr:rowOff>
    </xdr:from>
    <xdr:to>
      <xdr:col>7</xdr:col>
      <xdr:colOff>1021291</xdr:colOff>
      <xdr:row>7</xdr:row>
      <xdr:rowOff>153459</xdr:rowOff>
    </xdr:to>
    <xdr:sp macro="" textlink="'Metrics &amp; Statistics'!G22">
      <xdr:nvSpPr>
        <xdr:cNvPr id="53" name="TextBox 52">
          <a:extLst>
            <a:ext uri="{FF2B5EF4-FFF2-40B4-BE49-F238E27FC236}">
              <a16:creationId xmlns:a16="http://schemas.microsoft.com/office/drawing/2014/main" id="{0419DA10-5555-B5C7-74BD-771E683CC97B}"/>
            </a:ext>
          </a:extLst>
        </xdr:cNvPr>
        <xdr:cNvSpPr txBox="1"/>
      </xdr:nvSpPr>
      <xdr:spPr>
        <a:xfrm>
          <a:off x="6048376" y="1090083"/>
          <a:ext cx="703790" cy="2328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A67D9FA-400F-4D02-9D6F-C39B9EA22148}" type="TxLink">
            <a:rPr lang="en-US" sz="1050" b="0" i="0" u="none" strike="noStrike">
              <a:solidFill>
                <a:schemeClr val="bg1"/>
              </a:solidFill>
              <a:latin typeface="Merriweather Black 18pt" pitchFamily="2" charset="0"/>
              <a:ea typeface="Merriweather Black 18pt" pitchFamily="2" charset="0"/>
              <a:cs typeface="Merriweather Black 18pt" pitchFamily="2" charset="0"/>
            </a:rPr>
            <a:pPr/>
            <a:t>$1.3 M</a:t>
          </a:fld>
          <a:endParaRPr lang="en-US" sz="1400">
            <a:solidFill>
              <a:schemeClr val="bg1"/>
            </a:solidFill>
            <a:latin typeface="Merriweather Black 18pt" pitchFamily="2" charset="0"/>
            <a:ea typeface="Merriweather Black 18pt" pitchFamily="2" charset="0"/>
            <a:cs typeface="Merriweather Black 18pt" pitchFamily="2" charset="0"/>
          </a:endParaRPr>
        </a:p>
      </xdr:txBody>
    </xdr:sp>
    <xdr:clientData/>
  </xdr:twoCellAnchor>
  <xdr:twoCellAnchor>
    <xdr:from>
      <xdr:col>4</xdr:col>
      <xdr:colOff>347660</xdr:colOff>
      <xdr:row>7</xdr:row>
      <xdr:rowOff>58210</xdr:rowOff>
    </xdr:from>
    <xdr:to>
      <xdr:col>6</xdr:col>
      <xdr:colOff>650875</xdr:colOff>
      <xdr:row>8</xdr:row>
      <xdr:rowOff>116418</xdr:rowOff>
    </xdr:to>
    <xdr:sp macro="" textlink="">
      <xdr:nvSpPr>
        <xdr:cNvPr id="59" name="TextBox 58">
          <a:extLst>
            <a:ext uri="{FF2B5EF4-FFF2-40B4-BE49-F238E27FC236}">
              <a16:creationId xmlns:a16="http://schemas.microsoft.com/office/drawing/2014/main" id="{3858D639-5268-440C-91BC-F2EB837A828D}"/>
            </a:ext>
          </a:extLst>
        </xdr:cNvPr>
        <xdr:cNvSpPr txBox="1"/>
      </xdr:nvSpPr>
      <xdr:spPr>
        <a:xfrm>
          <a:off x="3543827" y="1227668"/>
          <a:ext cx="1890715" cy="222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600" b="0" i="1">
              <a:solidFill>
                <a:srgbClr val="2CA884"/>
              </a:solidFill>
              <a:latin typeface="Aptos" panose="020B0004020202020204" pitchFamily="34" charset="0"/>
            </a:rPr>
            <a:t>Past</a:t>
          </a:r>
          <a:r>
            <a:rPr lang="en-US" sz="600" b="0" i="1" baseline="0">
              <a:solidFill>
                <a:srgbClr val="2CA884"/>
              </a:solidFill>
              <a:latin typeface="Aptos" panose="020B0004020202020204" pitchFamily="34" charset="0"/>
            </a:rPr>
            <a:t> expected Salesforce Close Date</a:t>
          </a:r>
          <a:endParaRPr lang="en-US" sz="600" b="0" i="1">
            <a:solidFill>
              <a:srgbClr val="2CA884"/>
            </a:solidFill>
            <a:latin typeface="Aptos" panose="020B0004020202020204" pitchFamily="34" charset="0"/>
          </a:endParaRPr>
        </a:p>
      </xdr:txBody>
    </xdr:sp>
    <xdr:clientData/>
  </xdr:twoCellAnchor>
  <xdr:twoCellAnchor>
    <xdr:from>
      <xdr:col>0</xdr:col>
      <xdr:colOff>0</xdr:colOff>
      <xdr:row>17</xdr:row>
      <xdr:rowOff>25402</xdr:rowOff>
    </xdr:from>
    <xdr:to>
      <xdr:col>1</xdr:col>
      <xdr:colOff>26458</xdr:colOff>
      <xdr:row>21</xdr:row>
      <xdr:rowOff>21166</xdr:rowOff>
    </xdr:to>
    <xdr:grpSp>
      <xdr:nvGrpSpPr>
        <xdr:cNvPr id="66" name="Group 65">
          <a:hlinkClick xmlns:r="http://schemas.openxmlformats.org/officeDocument/2006/relationships" r:id="rId3"/>
          <a:extLst>
            <a:ext uri="{FF2B5EF4-FFF2-40B4-BE49-F238E27FC236}">
              <a16:creationId xmlns:a16="http://schemas.microsoft.com/office/drawing/2014/main" id="{6630ADC8-32FE-F876-5F26-6BF53ED7A07C}"/>
            </a:ext>
          </a:extLst>
        </xdr:cNvPr>
        <xdr:cNvGrpSpPr/>
      </xdr:nvGrpSpPr>
      <xdr:grpSpPr>
        <a:xfrm>
          <a:off x="0" y="3272561"/>
          <a:ext cx="606617" cy="688491"/>
          <a:chOff x="0" y="3115735"/>
          <a:chExt cx="635000" cy="651931"/>
        </a:xfrm>
      </xdr:grpSpPr>
      <xdr:pic>
        <xdr:nvPicPr>
          <xdr:cNvPr id="62" name="Graphic 61" descr="Clipboard Checked with solid fill">
            <a:extLst>
              <a:ext uri="{FF2B5EF4-FFF2-40B4-BE49-F238E27FC236}">
                <a16:creationId xmlns:a16="http://schemas.microsoft.com/office/drawing/2014/main" id="{0BCDE414-4B1A-329E-FF3D-CF68DFFE7281}"/>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69335" y="3115735"/>
            <a:ext cx="291040" cy="291040"/>
          </a:xfrm>
          <a:prstGeom prst="rect">
            <a:avLst/>
          </a:prstGeom>
        </xdr:spPr>
      </xdr:pic>
      <xdr:sp macro="" textlink="">
        <xdr:nvSpPr>
          <xdr:cNvPr id="65" name="TextBox 64">
            <a:extLst>
              <a:ext uri="{FF2B5EF4-FFF2-40B4-BE49-F238E27FC236}">
                <a16:creationId xmlns:a16="http://schemas.microsoft.com/office/drawing/2014/main" id="{1C076E4D-B715-1B4E-9415-94C555F601EA}"/>
              </a:ext>
            </a:extLst>
          </xdr:cNvPr>
          <xdr:cNvSpPr txBox="1"/>
        </xdr:nvSpPr>
        <xdr:spPr>
          <a:xfrm>
            <a:off x="0" y="3317875"/>
            <a:ext cx="635000" cy="4497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800">
                <a:solidFill>
                  <a:srgbClr val="32C097"/>
                </a:solidFill>
                <a:latin typeface="Merriweather Black 18pt" pitchFamily="2" charset="0"/>
                <a:ea typeface="Merriweather Black 18pt" pitchFamily="2" charset="0"/>
                <a:cs typeface="Merriweather Black 18pt" pitchFamily="2" charset="0"/>
              </a:rPr>
              <a:t>Go</a:t>
            </a:r>
            <a:r>
              <a:rPr lang="en-US" sz="800" baseline="0">
                <a:solidFill>
                  <a:srgbClr val="32C097"/>
                </a:solidFill>
                <a:latin typeface="Merriweather Black 18pt" pitchFamily="2" charset="0"/>
                <a:ea typeface="Merriweather Black 18pt" pitchFamily="2" charset="0"/>
                <a:cs typeface="Merriweather Black 18pt" pitchFamily="2" charset="0"/>
              </a:rPr>
              <a:t> to All m</a:t>
            </a:r>
            <a:r>
              <a:rPr lang="en-US" sz="800">
                <a:solidFill>
                  <a:srgbClr val="32C097"/>
                </a:solidFill>
                <a:latin typeface="Merriweather Black 18pt" pitchFamily="2" charset="0"/>
                <a:ea typeface="Merriweather Black 18pt" pitchFamily="2" charset="0"/>
                <a:cs typeface="Merriweather Black 18pt" pitchFamily="2" charset="0"/>
              </a:rPr>
              <a:t>etrics</a:t>
            </a:r>
          </a:p>
        </xdr:txBody>
      </xdr:sp>
    </xdr:grp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B0E91-BBB0-4D60-AFD2-C9882B61889B}" name="Pipeline" displayName="Pipeline" ref="A1:S50" totalsRowShown="0">
  <autoFilter ref="A1:S50" xr:uid="{C8229496-94C6-46EF-A537-05EDF7079B42}"/>
  <sortState xmlns:xlrd2="http://schemas.microsoft.com/office/spreadsheetml/2017/richdata2" ref="A4:R50">
    <sortCondition ref="M1:M50"/>
  </sortState>
  <tableColumns count="19">
    <tableColumn id="1" xr3:uid="{8557904E-1D47-41CC-9DB5-449E7FEAC75F}" name="Account Name"/>
    <tableColumn id="2" xr3:uid="{FA77B499-2E1F-4D17-8BD1-71DED616F02B}" name="Annual Recurring Revenue (ARR)" dataDxfId="10"/>
    <tableColumn id="3" xr3:uid="{4F97131E-CD70-4A01-898D-0BE2835A428D}" name="Opportunity Create Date" dataDxfId="9"/>
    <tableColumn id="4" xr3:uid="{3165B671-2A8E-4282-BE53-B035A772899F}" name="Close Date" dataDxfId="8"/>
    <tableColumn id="5" xr3:uid="{97B6738B-3807-4FEC-A4E4-B9EB900D6D86}" name="Sales Rep"/>
    <tableColumn id="6" xr3:uid="{2A41F3D6-8A07-4945-8D79-679AFE074AE5}" name="Lead Source"/>
    <tableColumn id="7" xr3:uid="{137D1193-1633-46B5-BE39-CD482A4677D3}" name="Stage"/>
    <tableColumn id="8" xr3:uid="{7BA6A484-F1A7-4303-93A0-0758BCA674C3}" name="Probability" dataDxfId="7"/>
    <tableColumn id="9" xr3:uid="{5C7DCEF1-8D26-4CDB-819F-FA94AB16106D}" name="Product Line"/>
    <tableColumn id="10" xr3:uid="{A1D14512-DE44-4107-BDE6-6F0F824F2C13}" name="Region"/>
    <tableColumn id="11" xr3:uid="{5E320B10-FE63-4F49-94C0-0A1BC93567DF}" name="Customer Segment"/>
    <tableColumn id="12" xr3:uid="{03C65B5A-6C0A-40B8-B4BA-5E797A777856}" name="General Stage">
      <calculatedColumnFormula>IF(OR(G2="Closed Won", G2="Closed Lost"), "Inactive", "Active")</calculatedColumnFormula>
    </tableColumn>
    <tableColumn id="13" xr3:uid="{6AB0FD6D-04C8-4F74-B6C3-1E8B097F9C3E}" name="Sales Close Days">
      <calculatedColumnFormula>_xlfn.DAYS(D2,C2)</calculatedColumnFormula>
    </tableColumn>
    <tableColumn id="14" xr3:uid="{50DE1023-D762-4E23-BCCE-C168F463864A}" name="S1 ARR * SF Probability " dataDxfId="6">
      <calculatedColumnFormula>IF(L2="Active",B2*H2,0)</calculatedColumnFormula>
    </tableColumn>
    <tableColumn id="17" xr3:uid="{A8EB49D1-5748-4445-B45E-ED7DF11D2A95}" name="1st month of Revenue (SF)" dataDxfId="5">
      <calculatedColumnFormula>EOMONTH(D2,0)+1</calculatedColumnFormula>
    </tableColumn>
    <tableColumn id="18" xr3:uid="{ACE11FB3-499F-41BE-8AE1-1629096FADA7}" name="Overdue" dataDxfId="4"/>
    <tableColumn id="19" xr3:uid="{A584419D-FC71-4802-9B45-880ABFBBFE99}" name="Rev Date according to Sales Stage" dataDxfId="3"/>
    <tableColumn id="20" xr3:uid="{5AD6C1D9-CFCE-4960-801B-2C36EBB165AD}" name="Phasing Month Forecast" dataDxfId="2"/>
    <tableColumn id="21" xr3:uid="{CF728BEF-63BC-46F2-AE9C-89A03677478B}" name="Days past since Opp creation" dataDxfId="1">
      <calculatedColumnFormula>_xlfn.DAYS('Forecast Sep-Nov 2025'!$J$6,Pipeline[[#This Row],[Opportunity Create Date]])</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DC1AF-7242-4521-9D52-5EC8F77FA422}">
  <dimension ref="A2:F24"/>
  <sheetViews>
    <sheetView showGridLines="0" tabSelected="1" zoomScaleNormal="100" workbookViewId="0">
      <pane ySplit="25" topLeftCell="A26" activePane="bottomLeft" state="frozen"/>
      <selection pane="bottomLeft" activeCell="A2" sqref="A2"/>
    </sheetView>
  </sheetViews>
  <sheetFormatPr defaultColWidth="8.7109375" defaultRowHeight="21"/>
  <cols>
    <col min="1" max="1" width="8.7109375" style="38"/>
    <col min="2" max="2" width="35.28515625" style="38" bestFit="1" customWidth="1"/>
    <col min="3" max="16384" width="8.7109375" style="38"/>
  </cols>
  <sheetData>
    <row r="2" spans="1:6" ht="43.5">
      <c r="A2" s="37"/>
      <c r="B2" s="39" t="s">
        <v>146</v>
      </c>
    </row>
    <row r="4" spans="1:6" ht="25.5">
      <c r="B4" s="18" t="s">
        <v>177</v>
      </c>
    </row>
    <row r="5" spans="1:6" ht="24.75">
      <c r="A5" s="19" t="s">
        <v>96</v>
      </c>
      <c r="B5" s="54" t="s">
        <v>127</v>
      </c>
      <c r="C5" s="43"/>
      <c r="D5" s="43"/>
      <c r="E5" s="43"/>
      <c r="F5" s="44"/>
    </row>
    <row r="6" spans="1:6" ht="24.75">
      <c r="A6" s="19" t="s">
        <v>96</v>
      </c>
      <c r="B6" s="54" t="s">
        <v>147</v>
      </c>
      <c r="C6" s="43"/>
      <c r="D6" s="43"/>
      <c r="E6" s="43"/>
      <c r="F6" s="44"/>
    </row>
    <row r="7" spans="1:6" ht="24.75">
      <c r="B7" s="55"/>
      <c r="C7" s="43"/>
      <c r="D7" s="43"/>
      <c r="E7" s="43"/>
      <c r="F7" s="44"/>
    </row>
    <row r="8" spans="1:6" ht="24.75">
      <c r="A8" s="19" t="s">
        <v>96</v>
      </c>
      <c r="B8" s="54" t="s">
        <v>148</v>
      </c>
      <c r="C8" s="43"/>
      <c r="D8" s="43"/>
      <c r="E8" s="43"/>
      <c r="F8" s="44"/>
    </row>
    <row r="9" spans="1:6" ht="24.75">
      <c r="B9" s="55"/>
      <c r="C9" s="43"/>
      <c r="D9" s="43"/>
      <c r="E9" s="43"/>
      <c r="F9" s="44"/>
    </row>
    <row r="10" spans="1:6" ht="24.75">
      <c r="A10" s="19" t="s">
        <v>96</v>
      </c>
      <c r="B10" s="54" t="s">
        <v>149</v>
      </c>
      <c r="C10" s="43"/>
      <c r="D10" s="43"/>
      <c r="E10" s="43"/>
      <c r="F10" s="44"/>
    </row>
    <row r="11" spans="1:6" ht="24.75">
      <c r="B11" s="55"/>
      <c r="C11" s="43"/>
      <c r="D11" s="43"/>
      <c r="E11" s="43"/>
      <c r="F11" s="44"/>
    </row>
    <row r="12" spans="1:6" ht="24.75">
      <c r="A12" s="19" t="s">
        <v>96</v>
      </c>
      <c r="B12" s="54" t="s">
        <v>144</v>
      </c>
      <c r="C12" s="43"/>
      <c r="D12" s="43"/>
      <c r="E12" s="43"/>
      <c r="F12" s="44"/>
    </row>
    <row r="13" spans="1:6" ht="24.75">
      <c r="B13" s="51"/>
      <c r="C13" s="43"/>
      <c r="D13" s="43"/>
      <c r="E13" s="43"/>
      <c r="F13" s="44"/>
    </row>
    <row r="14" spans="1:6" ht="24.75">
      <c r="A14" s="19" t="s">
        <v>96</v>
      </c>
      <c r="B14" s="54" t="s">
        <v>150</v>
      </c>
      <c r="C14" s="43"/>
      <c r="D14" s="43"/>
      <c r="E14" s="43"/>
      <c r="F14" s="44"/>
    </row>
    <row r="15" spans="1:6" ht="24.75">
      <c r="B15" s="52"/>
      <c r="C15" s="42"/>
      <c r="D15" s="42"/>
      <c r="E15" s="42"/>
    </row>
    <row r="16" spans="1:6" ht="24.75">
      <c r="A16" s="19" t="s">
        <v>96</v>
      </c>
      <c r="B16" s="259" t="s">
        <v>255</v>
      </c>
    </row>
    <row r="17" spans="2:2" ht="24.75">
      <c r="B17" s="53"/>
    </row>
    <row r="18" spans="2:2" ht="24.75">
      <c r="B18" s="53"/>
    </row>
    <row r="19" spans="2:2" ht="24.75">
      <c r="B19" s="53"/>
    </row>
    <row r="20" spans="2:2" ht="24.75">
      <c r="B20" s="53"/>
    </row>
    <row r="21" spans="2:2" ht="24.75">
      <c r="B21" s="53"/>
    </row>
    <row r="22" spans="2:2" ht="24.75">
      <c r="B22" s="53"/>
    </row>
    <row r="23" spans="2:2" ht="24.75">
      <c r="B23" s="53"/>
    </row>
    <row r="24" spans="2:2" ht="24.75">
      <c r="B24" s="53"/>
    </row>
  </sheetData>
  <hyperlinks>
    <hyperlink ref="B5" location="'Forecast Assumptions'!A1" display="Forecast Assumptions" xr:uid="{52A0CEDD-FF46-4A09-9F2F-DF7194FC3C66}"/>
    <hyperlink ref="B6" location="'Forecast Sep-Nov'!A1" display="Forecast Sep - Nov 2025" xr:uid="{E4C6925A-BD82-49B7-BEC4-CC2C68F503CB}"/>
    <hyperlink ref="B8" location="'Metrics-Dashboard'!A1" display="Dashboard " xr:uid="{5E5298F9-1353-46A0-A723-8DCC9072574E}"/>
    <hyperlink ref="B10" location="'Metrics &amp; Statistics'!A1" display="Metrics &amp; Statistics " xr:uid="{2467A5E1-FAB1-4F86-94A2-2F1F65950AB5}"/>
    <hyperlink ref="B12" location="'Plan '!A1" display="Plan " xr:uid="{D19C19C6-E519-4E4D-9627-AFB654C444D0}"/>
    <hyperlink ref="B14" location="Data!A1" display="Data Source" xr:uid="{1768D38F-155D-4422-928B-69C57B334C87}"/>
    <hyperlink ref="B16" location="'Assignment Approach'!A1" display="Assignment Approach" xr:uid="{B6AFBB7E-283D-47E3-8CC8-73535549BBE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48E1B-81CE-4038-8166-8DB3A84F3C7B}">
  <sheetPr>
    <tabColor rgb="FF32C097"/>
  </sheetPr>
  <dimension ref="A2:P38"/>
  <sheetViews>
    <sheetView showGridLines="0" zoomScale="120" zoomScaleNormal="120" zoomScaleSheetLayoutView="50" workbookViewId="0">
      <pane ySplit="3" topLeftCell="A4" activePane="bottomLeft" state="frozen"/>
      <selection pane="bottomLeft" activeCell="A2" sqref="A2"/>
    </sheetView>
  </sheetViews>
  <sheetFormatPr defaultColWidth="8.7109375" defaultRowHeight="18.75"/>
  <cols>
    <col min="1" max="1" width="5.5703125" style="24" customWidth="1"/>
    <col min="2" max="2" width="20" style="215" customWidth="1"/>
    <col min="3" max="3" width="132.28515625" style="47" bestFit="1" customWidth="1"/>
    <col min="4" max="16384" width="8.7109375" style="24"/>
  </cols>
  <sheetData>
    <row r="2" spans="1:16" ht="29.25">
      <c r="A2" s="34"/>
      <c r="B2" s="36" t="s">
        <v>193</v>
      </c>
      <c r="C2" s="46"/>
      <c r="D2" s="23"/>
      <c r="E2" s="23"/>
      <c r="F2" s="23"/>
      <c r="G2" s="23"/>
      <c r="H2" s="23"/>
      <c r="I2" s="23"/>
      <c r="J2" s="23"/>
      <c r="K2" s="23"/>
      <c r="L2" s="23"/>
      <c r="M2" s="23"/>
      <c r="N2" s="23"/>
      <c r="O2" s="23"/>
      <c r="P2" s="23"/>
    </row>
    <row r="3" spans="1:16">
      <c r="B3" s="115" t="s">
        <v>194</v>
      </c>
      <c r="C3" s="48"/>
    </row>
    <row r="4" spans="1:16">
      <c r="B4" s="214"/>
    </row>
    <row r="5" spans="1:16">
      <c r="B5" s="213" t="s">
        <v>98</v>
      </c>
    </row>
    <row r="6" spans="1:16" ht="15">
      <c r="B6" s="19" t="s">
        <v>96</v>
      </c>
      <c r="C6" t="s">
        <v>195</v>
      </c>
    </row>
    <row r="7" spans="1:16" s="27" customFormat="1" ht="15">
      <c r="B7" s="25" t="s">
        <v>96</v>
      </c>
      <c r="C7" s="82" t="s">
        <v>196</v>
      </c>
      <c r="D7" s="26"/>
      <c r="E7" s="26"/>
      <c r="F7" s="26"/>
      <c r="G7" s="26"/>
    </row>
    <row r="8" spans="1:16">
      <c r="B8" s="214"/>
    </row>
    <row r="9" spans="1:16">
      <c r="B9" s="213" t="s">
        <v>128</v>
      </c>
    </row>
    <row r="10" spans="1:16" ht="15">
      <c r="B10" s="19" t="s">
        <v>96</v>
      </c>
      <c r="C10" t="s">
        <v>232</v>
      </c>
    </row>
    <row r="11" spans="1:16" ht="15">
      <c r="B11" s="19" t="s">
        <v>96</v>
      </c>
      <c r="C11" t="s">
        <v>197</v>
      </c>
    </row>
    <row r="12" spans="1:16" ht="15">
      <c r="B12" s="25" t="s">
        <v>96</v>
      </c>
      <c r="C12" t="s">
        <v>201</v>
      </c>
      <c r="D12" s="26"/>
      <c r="E12" s="26"/>
      <c r="F12" s="26"/>
      <c r="G12" s="26"/>
      <c r="H12" s="28"/>
      <c r="I12" s="28"/>
      <c r="J12" s="28"/>
      <c r="K12" s="28"/>
      <c r="L12" s="28"/>
      <c r="M12" s="28"/>
      <c r="N12" s="28"/>
      <c r="O12" s="28"/>
    </row>
    <row r="13" spans="1:16" ht="15">
      <c r="B13" s="25"/>
      <c r="C13" s="4" t="s">
        <v>198</v>
      </c>
      <c r="D13" s="26"/>
      <c r="E13" s="26"/>
      <c r="F13" s="26"/>
      <c r="G13" s="26"/>
      <c r="H13" s="28"/>
      <c r="I13" s="28"/>
      <c r="J13" s="28"/>
      <c r="K13" s="28"/>
      <c r="L13" s="28"/>
      <c r="M13" s="28"/>
      <c r="N13" s="28"/>
      <c r="O13" s="28"/>
    </row>
    <row r="14" spans="1:16" ht="15">
      <c r="B14" s="25"/>
      <c r="C14" s="4" t="s">
        <v>199</v>
      </c>
      <c r="D14" s="26"/>
      <c r="E14" s="26"/>
      <c r="F14" s="26"/>
      <c r="G14" s="26"/>
      <c r="H14" s="28"/>
      <c r="I14" s="28"/>
      <c r="J14" s="28"/>
      <c r="K14" s="28"/>
      <c r="L14" s="28"/>
      <c r="M14" s="28"/>
      <c r="N14" s="28"/>
      <c r="O14" s="28"/>
    </row>
    <row r="15" spans="1:16" ht="15">
      <c r="B15" s="25"/>
      <c r="C15" s="4" t="s">
        <v>200</v>
      </c>
      <c r="D15" s="26"/>
      <c r="E15" s="26"/>
      <c r="F15" s="26"/>
      <c r="G15" s="26"/>
      <c r="H15" s="28"/>
      <c r="I15" s="28"/>
      <c r="J15" s="28"/>
      <c r="K15" s="28"/>
      <c r="L15" s="28"/>
      <c r="M15" s="28"/>
      <c r="N15" s="28"/>
      <c r="O15" s="28"/>
    </row>
    <row r="16" spans="1:16" ht="15">
      <c r="B16" s="25"/>
      <c r="C16"/>
      <c r="D16" s="26"/>
      <c r="E16" s="26"/>
      <c r="F16" s="26"/>
      <c r="G16" s="26"/>
      <c r="H16" s="28"/>
      <c r="I16" s="28"/>
      <c r="J16" s="28"/>
      <c r="K16" s="28"/>
      <c r="L16" s="28"/>
      <c r="M16" s="28"/>
      <c r="N16" s="28"/>
      <c r="O16" s="28"/>
    </row>
    <row r="17" spans="2:15">
      <c r="B17" s="213" t="s">
        <v>151</v>
      </c>
      <c r="C17" s="49"/>
      <c r="D17" s="28"/>
      <c r="E17" s="28"/>
      <c r="F17" s="28"/>
      <c r="G17" s="28"/>
      <c r="H17" s="28"/>
      <c r="I17" s="28"/>
      <c r="J17" s="28"/>
      <c r="K17" s="28"/>
      <c r="L17" s="28"/>
      <c r="M17" s="28"/>
      <c r="N17" s="28"/>
      <c r="O17" s="28"/>
    </row>
    <row r="18" spans="2:15" ht="15">
      <c r="B18" s="25" t="s">
        <v>96</v>
      </c>
      <c r="C18" t="s">
        <v>202</v>
      </c>
      <c r="D18" s="28"/>
      <c r="E18" s="28"/>
      <c r="F18" s="28"/>
      <c r="G18" s="28"/>
      <c r="H18" s="28"/>
      <c r="I18" s="28"/>
      <c r="J18" s="28"/>
      <c r="K18" s="28"/>
      <c r="L18" s="28"/>
      <c r="M18" s="28"/>
      <c r="N18" s="28"/>
      <c r="O18" s="28"/>
    </row>
    <row r="19" spans="2:15" ht="15">
      <c r="B19" s="25" t="s">
        <v>96</v>
      </c>
      <c r="C19" t="s">
        <v>203</v>
      </c>
      <c r="D19" s="28"/>
      <c r="E19" s="28"/>
      <c r="F19" s="28"/>
      <c r="G19" s="28"/>
      <c r="H19" s="28"/>
      <c r="I19" s="28"/>
      <c r="J19" s="28"/>
      <c r="K19" s="28"/>
      <c r="L19" s="28"/>
      <c r="M19" s="28"/>
      <c r="N19" s="28"/>
      <c r="O19" s="28"/>
    </row>
    <row r="20" spans="2:15" ht="15">
      <c r="B20" s="25"/>
      <c r="C20" t="s">
        <v>204</v>
      </c>
      <c r="D20" s="28"/>
      <c r="E20" s="28"/>
      <c r="F20" s="28"/>
      <c r="G20" s="28"/>
      <c r="H20" s="28"/>
      <c r="I20" s="28"/>
      <c r="J20" s="28"/>
      <c r="K20" s="28"/>
      <c r="L20" s="28"/>
      <c r="M20" s="28"/>
      <c r="N20" s="28"/>
      <c r="O20" s="28"/>
    </row>
    <row r="21" spans="2:15" ht="15">
      <c r="B21" s="25"/>
      <c r="C21" t="s">
        <v>205</v>
      </c>
      <c r="D21" s="28"/>
      <c r="E21" s="28"/>
      <c r="F21" s="28"/>
      <c r="G21" s="28"/>
      <c r="H21" s="28"/>
      <c r="I21" s="28"/>
      <c r="J21" s="28"/>
      <c r="K21" s="28"/>
      <c r="L21" s="28"/>
      <c r="M21" s="28"/>
      <c r="N21" s="28"/>
      <c r="O21" s="28"/>
    </row>
    <row r="22" spans="2:15" ht="15">
      <c r="B22" s="25"/>
      <c r="C22" t="s">
        <v>206</v>
      </c>
      <c r="D22" s="28"/>
      <c r="E22" s="28"/>
      <c r="F22" s="28"/>
      <c r="G22" s="28"/>
      <c r="H22" s="28"/>
      <c r="I22" s="28"/>
      <c r="J22" s="28"/>
      <c r="K22" s="28"/>
      <c r="L22" s="28"/>
      <c r="M22" s="28"/>
      <c r="N22" s="28"/>
      <c r="O22" s="28"/>
    </row>
    <row r="23" spans="2:15" ht="15">
      <c r="B23" s="25"/>
      <c r="C23" t="s">
        <v>207</v>
      </c>
      <c r="D23" s="28"/>
      <c r="E23" s="28"/>
      <c r="F23" s="28"/>
      <c r="G23" s="28"/>
      <c r="H23" s="28"/>
      <c r="I23" s="28"/>
      <c r="J23" s="28"/>
      <c r="K23" s="28"/>
      <c r="L23" s="28"/>
      <c r="M23" s="28"/>
      <c r="N23" s="28"/>
      <c r="O23" s="28"/>
    </row>
    <row r="24" spans="2:15">
      <c r="C24" s="50"/>
      <c r="D24" s="29"/>
      <c r="E24" s="29"/>
      <c r="F24" s="29"/>
      <c r="G24" s="29"/>
      <c r="H24" s="29"/>
      <c r="I24" s="29"/>
      <c r="J24" s="29"/>
      <c r="K24" s="29"/>
      <c r="L24" s="29"/>
      <c r="M24" s="29"/>
      <c r="N24" s="29"/>
      <c r="O24" s="29"/>
    </row>
    <row r="25" spans="2:15">
      <c r="B25" s="213" t="s">
        <v>129</v>
      </c>
      <c r="D25" s="29"/>
      <c r="E25" s="29"/>
      <c r="F25" s="29"/>
      <c r="G25" s="29"/>
      <c r="H25" s="29"/>
      <c r="I25" s="29"/>
      <c r="J25" s="29"/>
      <c r="K25" s="29"/>
      <c r="L25" s="29"/>
      <c r="M25" s="29"/>
      <c r="N25" s="29"/>
      <c r="O25" s="29"/>
    </row>
    <row r="26" spans="2:15" ht="15">
      <c r="B26" s="25" t="s">
        <v>96</v>
      </c>
      <c r="C26" t="s">
        <v>208</v>
      </c>
    </row>
    <row r="27" spans="2:15" ht="15">
      <c r="B27" s="25"/>
      <c r="C27"/>
    </row>
    <row r="28" spans="2:15">
      <c r="B28" s="213" t="s">
        <v>102</v>
      </c>
    </row>
    <row r="29" spans="2:15" ht="15">
      <c r="B29" s="19" t="s">
        <v>96</v>
      </c>
      <c r="C29" t="s">
        <v>209</v>
      </c>
    </row>
    <row r="30" spans="2:15" ht="15">
      <c r="B30" s="19" t="s">
        <v>96</v>
      </c>
      <c r="C30" t="s">
        <v>210</v>
      </c>
    </row>
    <row r="32" spans="2:15">
      <c r="B32" s="213" t="s">
        <v>130</v>
      </c>
    </row>
    <row r="33" spans="2:3" ht="15">
      <c r="B33" s="30" t="s">
        <v>190</v>
      </c>
      <c r="C33" s="4" t="s">
        <v>211</v>
      </c>
    </row>
    <row r="34" spans="2:3" ht="15">
      <c r="B34" s="30" t="s">
        <v>191</v>
      </c>
      <c r="C34" s="4" t="s">
        <v>212</v>
      </c>
    </row>
    <row r="35" spans="2:3" ht="15">
      <c r="B35" s="19" t="s">
        <v>96</v>
      </c>
      <c r="C35" t="s">
        <v>213</v>
      </c>
    </row>
    <row r="36" spans="2:3">
      <c r="B36" s="216"/>
    </row>
    <row r="37" spans="2:3">
      <c r="B37" s="213" t="s">
        <v>215</v>
      </c>
    </row>
    <row r="38" spans="2:3" ht="15">
      <c r="B38" s="19" t="s">
        <v>96</v>
      </c>
      <c r="C38" t="s">
        <v>214</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BD83AD-BF31-47C1-B576-8CAA3153DB23}">
  <sheetPr>
    <tabColor rgb="FF32C097"/>
  </sheetPr>
  <dimension ref="A2:O42"/>
  <sheetViews>
    <sheetView showGridLines="0" zoomScaleNormal="100" workbookViewId="0">
      <pane ySplit="3" topLeftCell="A4" activePane="bottomLeft" state="frozen"/>
      <selection pane="bottomLeft" activeCell="J12" sqref="J12"/>
    </sheetView>
  </sheetViews>
  <sheetFormatPr defaultColWidth="11.140625" defaultRowHeight="13.5"/>
  <cols>
    <col min="1" max="1" width="7.140625" customWidth="1"/>
    <col min="2" max="2" width="47.28515625" bestFit="1" customWidth="1"/>
    <col min="3" max="5" width="11" bestFit="1" customWidth="1"/>
    <col min="6" max="6" width="8.42578125" style="81" bestFit="1" customWidth="1"/>
    <col min="7" max="7" width="11.7109375" bestFit="1" customWidth="1"/>
    <col min="8" max="8" width="4.42578125" customWidth="1"/>
    <col min="9" max="9" width="3.5703125" customWidth="1"/>
    <col min="10" max="10" width="19.28515625" bestFit="1" customWidth="1"/>
    <col min="11" max="11" width="6.7109375" customWidth="1"/>
    <col min="12" max="12" width="16.28515625" bestFit="1" customWidth="1"/>
    <col min="13" max="13" width="4.7109375" bestFit="1" customWidth="1"/>
  </cols>
  <sheetData>
    <row r="2" spans="1:15" ht="29.25">
      <c r="A2" s="129"/>
      <c r="B2" s="36" t="s">
        <v>131</v>
      </c>
    </row>
    <row r="3" spans="1:15">
      <c r="A3" s="82"/>
      <c r="B3" s="83" t="s">
        <v>139</v>
      </c>
      <c r="I3" s="4"/>
    </row>
    <row r="4" spans="1:15">
      <c r="A4" s="82"/>
      <c r="B4" s="83"/>
      <c r="I4" s="4"/>
    </row>
    <row r="5" spans="1:15" ht="14.25" thickBot="1">
      <c r="J5" s="115" t="s">
        <v>143</v>
      </c>
    </row>
    <row r="6" spans="1:15" ht="28.5" customHeight="1">
      <c r="B6" s="261" t="s">
        <v>189</v>
      </c>
      <c r="C6" s="262"/>
      <c r="D6" s="262"/>
      <c r="E6" s="262"/>
      <c r="F6" s="262"/>
      <c r="G6" s="263"/>
      <c r="J6" s="84">
        <v>45901</v>
      </c>
      <c r="K6" s="260" t="s">
        <v>216</v>
      </c>
      <c r="L6" s="260"/>
      <c r="M6" s="260"/>
      <c r="N6" s="260"/>
      <c r="O6" s="260"/>
    </row>
    <row r="7" spans="1:15" s="6" customFormat="1">
      <c r="B7" s="85"/>
      <c r="C7" s="20">
        <v>45901</v>
      </c>
      <c r="D7" s="20">
        <v>45931</v>
      </c>
      <c r="E7" s="20">
        <v>45962</v>
      </c>
      <c r="F7" s="86">
        <v>45992</v>
      </c>
      <c r="G7" s="87" t="s">
        <v>91</v>
      </c>
    </row>
    <row r="8" spans="1:15" s="6" customFormat="1" ht="14.25" thickBot="1">
      <c r="B8" s="88" t="s">
        <v>142</v>
      </c>
      <c r="C8" s="89">
        <f>'Plan '!$C$10</f>
        <v>425250</v>
      </c>
      <c r="D8" s="89">
        <f>'Plan '!$C$11</f>
        <v>486000</v>
      </c>
      <c r="E8" s="89">
        <f>'Plan '!$C$12</f>
        <v>303750</v>
      </c>
      <c r="F8" s="90"/>
      <c r="G8" s="91"/>
      <c r="J8" s="115" t="s">
        <v>225</v>
      </c>
      <c r="K8"/>
      <c r="L8" s="115" t="s">
        <v>141</v>
      </c>
    </row>
    <row r="9" spans="1:15" ht="15" thickTop="1" thickBot="1">
      <c r="B9" s="94"/>
      <c r="C9" s="95"/>
      <c r="D9" s="95"/>
      <c r="E9" s="95"/>
      <c r="F9" s="90"/>
      <c r="G9" s="96"/>
      <c r="J9" s="130">
        <f>L9</f>
        <v>1215000</v>
      </c>
      <c r="L9" s="93">
        <f>'Plan '!B7</f>
        <v>1215000</v>
      </c>
      <c r="N9" s="97"/>
    </row>
    <row r="10" spans="1:15" ht="14.25" thickTop="1">
      <c r="B10" s="98" t="s">
        <v>89</v>
      </c>
      <c r="C10" s="95">
        <f>SUMIFS(Data!$N:$N, Data!$L:$L, "Open", Data!$R:$R, C$7)</f>
        <v>899400</v>
      </c>
      <c r="D10" s="95">
        <f>SUMIFS(Data!$N:$N, Data!$L:$L, "Open", Data!$R:$R, D$7)</f>
        <v>489500</v>
      </c>
      <c r="E10" s="95">
        <f>SUMIFS(Data!$N:$N, Data!$L:$L, "Open", Data!$R:$R, E$7)</f>
        <v>252100</v>
      </c>
      <c r="F10" s="90"/>
      <c r="G10" s="96">
        <f>SUM(C10:E10)</f>
        <v>1641000</v>
      </c>
      <c r="I10" s="92"/>
      <c r="J10" s="3"/>
    </row>
    <row r="11" spans="1:15" ht="14.25" thickBot="1">
      <c r="B11" s="94" t="s">
        <v>101</v>
      </c>
      <c r="C11" s="95">
        <f>SUMIFS(
  $C$39:$Z$39,
  $C$38:$Z$38, "&gt;=" &amp; EOMONTH(C$7,-1)+1,
  $C$38:$Z$38, "&lt;=" &amp; EOMONTH(C$7,0)
)</f>
        <v>0</v>
      </c>
      <c r="D11" s="95">
        <f>SUMIFS(
  $C$39:$Z$39,
  $C$38:$Z$38, "&gt;=" &amp; EOMONTH(D$7,-1)+1,
  $C$38:$Z$38, "&lt;=" &amp; EOMONTH(D$7,0)
)</f>
        <v>0</v>
      </c>
      <c r="E11" s="95">
        <f>SUMIFS(
  $C$39:$Z$39,
  $C$38:$Z$38, "&gt;=" &amp; EOMONTH(E$7,-1)+1,
  $C$38:$Z$38, "&lt;=" &amp; EOMONTH(E$7,0)
)</f>
        <v>142263.33333333334</v>
      </c>
      <c r="F11" s="90">
        <f>SUMIFS(
  $C$39:$Z$39,
  $C$38:$Z$38, "&gt;=" &amp; EOMONTH(F$7,-1)+1,
  $C$38:$Z$38, "&lt;=" &amp; EOMONTH(F$7,0)
)</f>
        <v>162586.66666666672</v>
      </c>
      <c r="G11" s="96">
        <f>SUM(C11:E11)</f>
        <v>142263.33333333334</v>
      </c>
      <c r="J11" s="115" t="s">
        <v>218</v>
      </c>
    </row>
    <row r="12" spans="1:15" ht="15" thickTop="1" thickBot="1">
      <c r="B12" s="99" t="s">
        <v>140</v>
      </c>
      <c r="C12" s="100">
        <f t="shared" ref="C12" si="0">SUM(C9:C11)</f>
        <v>899400</v>
      </c>
      <c r="D12" s="100">
        <f t="shared" ref="D12" si="1">SUM(D9:D11)</f>
        <v>489500</v>
      </c>
      <c r="E12" s="100">
        <f t="shared" ref="E12" si="2">SUM(E9:E11)</f>
        <v>394363.33333333337</v>
      </c>
      <c r="F12" s="101">
        <f>SUM(F9:F11)</f>
        <v>162586.66666666672</v>
      </c>
      <c r="G12" s="102">
        <f>SUM(G9:G11)</f>
        <v>1783263.3333333333</v>
      </c>
      <c r="H12">
        <f>IF(G12&gt;$J$9,1,0)</f>
        <v>1</v>
      </c>
      <c r="J12" s="131">
        <v>1</v>
      </c>
    </row>
    <row r="13" spans="1:15" ht="15" thickTop="1" thickBot="1">
      <c r="B13" s="78"/>
      <c r="C13" s="78"/>
      <c r="D13" s="78"/>
      <c r="E13" s="78"/>
      <c r="G13" s="78"/>
    </row>
    <row r="14" spans="1:15" ht="22.5" customHeight="1">
      <c r="B14" s="264" t="s">
        <v>217</v>
      </c>
      <c r="C14" s="265"/>
      <c r="D14" s="265"/>
      <c r="E14" s="265"/>
      <c r="F14" s="265"/>
      <c r="G14" s="266"/>
    </row>
    <row r="15" spans="1:15" ht="15">
      <c r="B15" s="116"/>
      <c r="C15" s="20">
        <v>45901</v>
      </c>
      <c r="D15" s="20">
        <v>45931</v>
      </c>
      <c r="E15" s="20">
        <v>45962</v>
      </c>
      <c r="F15" s="86">
        <v>45992</v>
      </c>
      <c r="G15" s="117" t="s">
        <v>91</v>
      </c>
      <c r="J15" s="128"/>
    </row>
    <row r="16" spans="1:15" ht="14.25" thickBot="1">
      <c r="B16" s="118" t="s">
        <v>125</v>
      </c>
      <c r="C16" s="89">
        <f>'Plan '!$C$10</f>
        <v>425250</v>
      </c>
      <c r="D16" s="89">
        <f>'Plan '!$C$11</f>
        <v>486000</v>
      </c>
      <c r="E16" s="89">
        <f>'Plan '!$C$12</f>
        <v>303750</v>
      </c>
      <c r="F16" s="90"/>
      <c r="G16" s="119"/>
    </row>
    <row r="17" spans="2:11" ht="15" thickTop="1" thickBot="1">
      <c r="B17" s="120"/>
      <c r="C17" s="132">
        <v>0.4</v>
      </c>
      <c r="D17" s="132">
        <v>0.4</v>
      </c>
      <c r="E17" s="132">
        <v>0.2</v>
      </c>
      <c r="F17" s="90"/>
      <c r="G17" s="127">
        <f>SUM(C17:F17)</f>
        <v>1</v>
      </c>
      <c r="H17" s="5" t="str">
        <f>IF(SUM(C17:E17)=1,"","⚠ Total must equal 100%")</f>
        <v/>
      </c>
    </row>
    <row r="18" spans="2:11" ht="14.25" thickTop="1">
      <c r="B18" s="120" t="s">
        <v>89</v>
      </c>
      <c r="C18" s="95">
        <f>C17*$G$18</f>
        <v>656400</v>
      </c>
      <c r="D18" s="95">
        <f>D17*$G$18</f>
        <v>656400</v>
      </c>
      <c r="E18" s="95">
        <f>E17*$G$18</f>
        <v>328200</v>
      </c>
      <c r="F18" s="90"/>
      <c r="G18" s="121">
        <f>SUMIF(Data!L:L,"Open",Data!N:N)*J12</f>
        <v>1641000</v>
      </c>
    </row>
    <row r="19" spans="2:11">
      <c r="B19" s="122" t="s">
        <v>101</v>
      </c>
      <c r="C19" s="95">
        <f>SUMIFS(
  $C$39:$Z$39,
  $C$38:$Z$38, "&gt;=" &amp; EOMONTH(C$7,-1)+1,
  $C$38:$Z$38, "&lt;=" &amp; EOMONTH(C$7,0)
)</f>
        <v>0</v>
      </c>
      <c r="D19" s="95">
        <f>SUMIFS(
  $C$39:$Z$39,
  $C$38:$Z$38, "&gt;=" &amp; EOMONTH(D$7,-1)+1,
  $C$38:$Z$38, "&lt;=" &amp; EOMONTH(D$7,0)
)</f>
        <v>0</v>
      </c>
      <c r="E19" s="95">
        <f>SUMIFS(
  $C$39:$Z$39,
  $C$38:$Z$38, "&gt;=" &amp; EOMONTH(E$7,-1)+1,
  $C$38:$Z$38, "&lt;=" &amp; EOMONTH(E$7,0)
)</f>
        <v>142263.33333333334</v>
      </c>
      <c r="F19" s="90">
        <f>SUMIFS(
  $C$39:$Z$39,
  $C$38:$Z$38, "&gt;=" &amp; EOMONTH(F$7,-1)+1,
  $C$38:$Z$38, "&lt;=" &amp; EOMONTH(F$7,0)
)</f>
        <v>162586.66666666672</v>
      </c>
      <c r="G19" s="121">
        <f>SUM(C19:E19)</f>
        <v>142263.33333333334</v>
      </c>
    </row>
    <row r="20" spans="2:11" ht="14.25" thickBot="1">
      <c r="B20" s="123" t="s">
        <v>140</v>
      </c>
      <c r="C20" s="124">
        <f>SUM(C17:C19)</f>
        <v>656400.4</v>
      </c>
      <c r="D20" s="124">
        <f>SUM(D17:D19)</f>
        <v>656400.4</v>
      </c>
      <c r="E20" s="124">
        <f>SUM(E17:E19)</f>
        <v>470463.53333333333</v>
      </c>
      <c r="F20" s="125">
        <f>SUM(F17:F19)</f>
        <v>162586.66666666672</v>
      </c>
      <c r="G20" s="126">
        <f>SUM(G18:G19)</f>
        <v>1783263.3333333333</v>
      </c>
      <c r="H20">
        <f>IF(G20&gt;$J$9,1,0)</f>
        <v>1</v>
      </c>
    </row>
    <row r="21" spans="2:11">
      <c r="B21" s="103"/>
      <c r="C21" s="104"/>
      <c r="D21" s="104"/>
      <c r="E21" s="104"/>
      <c r="F21" s="105"/>
      <c r="G21" s="106"/>
    </row>
    <row r="24" spans="2:11" ht="30" thickBot="1">
      <c r="B24" s="36" t="s">
        <v>132</v>
      </c>
      <c r="C24" s="107"/>
      <c r="D24" s="107"/>
      <c r="F24"/>
      <c r="G24" s="107"/>
      <c r="I24" s="4"/>
    </row>
    <row r="25" spans="2:11" ht="14.25" thickBot="1">
      <c r="B25" s="92" t="s">
        <v>134</v>
      </c>
      <c r="C25" s="22">
        <f>'Metrics &amp; Statistics'!$B$19</f>
        <v>62214.285714285717</v>
      </c>
      <c r="E25" s="4" t="s">
        <v>135</v>
      </c>
      <c r="F25"/>
    </row>
    <row r="26" spans="2:11" ht="15" thickTop="1" thickBot="1">
      <c r="B26" s="92" t="s">
        <v>103</v>
      </c>
      <c r="C26" s="133">
        <f>E26</f>
        <v>54.846153846153847</v>
      </c>
      <c r="E26" s="109">
        <f>'Metrics &amp; Statistics'!$B$25</f>
        <v>54.846153846153847</v>
      </c>
      <c r="F26" t="s">
        <v>133</v>
      </c>
    </row>
    <row r="27" spans="2:11" ht="15" thickTop="1" thickBot="1">
      <c r="B27" s="92" t="s">
        <v>108</v>
      </c>
      <c r="C27" s="133">
        <f>E27</f>
        <v>9.8000000000000007</v>
      </c>
      <c r="E27" s="109">
        <f>'Metrics &amp; Statistics'!$B$8</f>
        <v>9.8000000000000007</v>
      </c>
      <c r="F27"/>
    </row>
    <row r="28" spans="2:11" ht="15" thickTop="1" thickBot="1">
      <c r="B28" s="92" t="s">
        <v>86</v>
      </c>
      <c r="C28" s="132">
        <f>E28</f>
        <v>0.66666666666666663</v>
      </c>
      <c r="E28" s="21">
        <f>'Metrics &amp; Statistics'!$C$29</f>
        <v>0.66666666666666663</v>
      </c>
    </row>
    <row r="29" spans="2:11" ht="14.25" thickTop="1"/>
    <row r="31" spans="2:11" ht="14.25" thickBot="1">
      <c r="C31" s="8">
        <v>45901</v>
      </c>
      <c r="D31" s="8">
        <v>45931</v>
      </c>
      <c r="E31" s="8">
        <v>45962</v>
      </c>
      <c r="F31" s="86">
        <v>45992</v>
      </c>
      <c r="G31" s="6" t="s">
        <v>107</v>
      </c>
      <c r="K31" s="12"/>
    </row>
    <row r="32" spans="2:11" ht="15" thickTop="1" thickBot="1">
      <c r="C32" s="132">
        <v>0.35</v>
      </c>
      <c r="D32" s="132">
        <v>0.4</v>
      </c>
      <c r="E32" s="132">
        <v>0.25</v>
      </c>
      <c r="F32" s="108"/>
      <c r="G32" s="13">
        <f>SUM(C32:F32)</f>
        <v>1</v>
      </c>
      <c r="H32" s="5" t="str">
        <f>IF(SUM(C32:E32)=1,"","⚠ Total must equal 100%")</f>
        <v/>
      </c>
    </row>
    <row r="33" spans="2:8" ht="14.25" thickTop="1">
      <c r="B33" s="92" t="s">
        <v>110</v>
      </c>
      <c r="C33" s="11">
        <f>C32*$G$33</f>
        <v>10.290000000000001</v>
      </c>
      <c r="D33" s="11">
        <f>D32*$G$33</f>
        <v>11.760000000000002</v>
      </c>
      <c r="E33" s="11">
        <f>E32*$G$33</f>
        <v>7.3500000000000005</v>
      </c>
      <c r="G33" s="45">
        <f>C27*3</f>
        <v>29.400000000000002</v>
      </c>
    </row>
    <row r="34" spans="2:8">
      <c r="B34" s="92"/>
      <c r="C34" s="8">
        <v>45901</v>
      </c>
      <c r="D34" s="8">
        <v>45931</v>
      </c>
      <c r="E34" s="8">
        <v>45962</v>
      </c>
      <c r="F34" s="86">
        <v>45992</v>
      </c>
    </row>
    <row r="35" spans="2:8">
      <c r="B35" s="92" t="s">
        <v>109</v>
      </c>
      <c r="C35" s="221">
        <f>C32*$G$35</f>
        <v>142263.33333333334</v>
      </c>
      <c r="D35" s="221">
        <f>D32*$G$35</f>
        <v>162586.66666666672</v>
      </c>
      <c r="E35" s="221">
        <f>E32*$G$35</f>
        <v>101616.66666666669</v>
      </c>
      <c r="F35" s="111">
        <f>F32*$F$15</f>
        <v>0</v>
      </c>
      <c r="G35" s="221">
        <f>C25*C27*C28</f>
        <v>406466.66666666674</v>
      </c>
    </row>
    <row r="36" spans="2:8">
      <c r="B36" s="92"/>
      <c r="C36" s="222"/>
      <c r="D36" s="221"/>
      <c r="E36" s="221"/>
      <c r="F36" s="111"/>
      <c r="G36" s="110"/>
    </row>
    <row r="37" spans="2:8">
      <c r="B37" s="92" t="s">
        <v>138</v>
      </c>
      <c r="C37" s="20">
        <f>C31+$C$26</f>
        <v>45955.846153846156</v>
      </c>
      <c r="D37" s="20">
        <f>D31+$C$26</f>
        <v>45985.846153846156</v>
      </c>
      <c r="E37" s="20">
        <f>E31+$C$26</f>
        <v>46016.846153846156</v>
      </c>
      <c r="F37" s="86">
        <f>F31+$C$26</f>
        <v>46046.846153846156</v>
      </c>
    </row>
    <row r="38" spans="2:8">
      <c r="B38" s="16" t="s">
        <v>128</v>
      </c>
      <c r="C38" s="8">
        <f>EOMONTH(C37,0)+1</f>
        <v>45962</v>
      </c>
      <c r="D38" s="8">
        <f>EOMONTH(D37,0)+1</f>
        <v>45992</v>
      </c>
      <c r="E38" s="8">
        <f>EOMONTH(E37,0)+1</f>
        <v>46023</v>
      </c>
      <c r="F38" s="86">
        <f>EOMONTH(F37,0)+1</f>
        <v>46054</v>
      </c>
    </row>
    <row r="39" spans="2:8">
      <c r="B39" s="92" t="s">
        <v>137</v>
      </c>
      <c r="C39" s="223">
        <f>C35</f>
        <v>142263.33333333334</v>
      </c>
      <c r="D39" s="223">
        <f>D35</f>
        <v>162586.66666666672</v>
      </c>
      <c r="E39" s="223">
        <f>E35</f>
        <v>101616.66666666669</v>
      </c>
      <c r="F39" s="224">
        <f>F35</f>
        <v>0</v>
      </c>
      <c r="G39" s="225">
        <f>SUMIFS(C39:F39, C39:F39, "&gt;=1/1/2025", C38:F38, "&lt;=12/31/2025")</f>
        <v>304850.00000000006</v>
      </c>
    </row>
    <row r="40" spans="2:8">
      <c r="B40" s="113" t="s">
        <v>136</v>
      </c>
      <c r="C40" s="226"/>
      <c r="D40" s="226"/>
      <c r="E40" s="226"/>
      <c r="F40" s="226"/>
      <c r="G40" s="227">
        <f>G35-G39</f>
        <v>101616.66666666669</v>
      </c>
    </row>
    <row r="41" spans="2:8">
      <c r="C41" s="221"/>
      <c r="D41" s="221"/>
      <c r="E41" s="221"/>
      <c r="F41" s="226"/>
      <c r="G41" s="221"/>
      <c r="H41" s="112"/>
    </row>
    <row r="42" spans="2:8">
      <c r="C42" s="221"/>
      <c r="D42" s="221"/>
      <c r="E42" s="221"/>
      <c r="F42" s="226"/>
      <c r="G42" s="221"/>
    </row>
  </sheetData>
  <mergeCells count="3">
    <mergeCell ref="K6:O6"/>
    <mergeCell ref="B6:G6"/>
    <mergeCell ref="B14:G14"/>
  </mergeCells>
  <conditionalFormatting sqref="C38:F38">
    <cfRule type="expression" dxfId="0" priority="1">
      <formula>YEAR(C38)=2025</formula>
    </cfRule>
  </conditionalFormatting>
  <dataValidations xWindow="1983" yWindow="933" count="6">
    <dataValidation allowBlank="1" showInputMessage="1" showErrorMessage="1" promptTitle="Allocate 100%" prompt="Make sure 100% of the forecasted opportunities are allocated. Total in column F must be 100%" sqref="C32:D32" xr:uid="{6A70C13B-5FA1-44A1-B438-F393FBE9DE7E}"/>
    <dataValidation type="custom" showInputMessage="1" showErrorMessage="1" promptTitle="Modifiable assumptions" prompt="Green cells can't be blank. If unsure of a new assumption, keep &quot;Current reference&quot; cell values" sqref="C26:C28" xr:uid="{00B8BD5A-A3D1-489D-ADFE-07ECA27AF42D}">
      <formula1>LEN(C26)&gt;0</formula1>
    </dataValidation>
    <dataValidation type="whole" errorStyle="warning" operator="equal" allowBlank="1" showInputMessage="1" showErrorMessage="1" promptTitle="Make sure total is 100%" sqref="G32" xr:uid="{580EE084-8453-4531-B30B-74E5FFFFC08C}">
      <formula1>1</formula1>
    </dataValidation>
    <dataValidation type="custom" showInputMessage="1" showErrorMessage="1" promptTitle="Modifiable assumption" prompt="Green cells can't be blank. If unsure of a new assumption, keep &quot;Current reference&quot; cell values" sqref="J9" xr:uid="{FA6D1D69-E1AA-4B2C-AB5E-F6780EC94E3D}">
      <formula1>LEN(J9)&gt;0</formula1>
    </dataValidation>
    <dataValidation allowBlank="1" showInputMessage="1" showErrorMessage="1" promptTitle="Allocate 100%" prompt="Make sure 100% of the forecasted opportunities are allocated. Total in column G must be 100%" sqref="E32 C17:E17" xr:uid="{EA9EA1D3-1B10-4C6C-B206-0E5822C30424}"/>
    <dataValidation type="custom" allowBlank="1" showInputMessage="1" showErrorMessage="1" promptTitle="Modifiable Assumption" prompt="Green cells can't be blank. If unsure of a new assumption, keep &quot;Current reference&quot; cell values" sqref="J12" xr:uid="{7748005F-AAC6-420B-B435-903EF94C3668}">
      <formula1>LEN(J12)&gt;0</formula1>
    </dataValidation>
  </dataValidations>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iconSet" priority="4" id="{89211EDC-0992-46E4-870E-63DBB22B28CE}">
            <x14:iconSet showValue="0" custom="1">
              <x14:cfvo type="percent">
                <xm:f>0</xm:f>
              </x14:cfvo>
              <x14:cfvo type="num" gte="0">
                <xm:f>0</xm:f>
              </x14:cfvo>
              <x14:cfvo type="num" gte="0">
                <xm:f>0</xm:f>
              </x14:cfvo>
              <x14:cfIcon iconSet="3TrafficLights1" iconId="0"/>
              <x14:cfIcon iconSet="NoIcons" iconId="0"/>
              <x14:cfIcon iconSet="3TrafficLights1" iconId="2"/>
            </x14:iconSet>
          </x14:cfRule>
          <xm:sqref>H12</xm:sqref>
        </x14:conditionalFormatting>
        <x14:conditionalFormatting xmlns:xm="http://schemas.microsoft.com/office/excel/2006/main">
          <x14:cfRule type="iconSet" priority="3" id="{B8B4BE0E-0D81-4337-9CAE-D58796C7A7FB}">
            <x14:iconSet showValue="0" custom="1">
              <x14:cfvo type="percent">
                <xm:f>0</xm:f>
              </x14:cfvo>
              <x14:cfvo type="num" gte="0">
                <xm:f>0</xm:f>
              </x14:cfvo>
              <x14:cfvo type="num" gte="0">
                <xm:f>0</xm:f>
              </x14:cfvo>
              <x14:cfIcon iconSet="3TrafficLights1" iconId="0"/>
              <x14:cfIcon iconSet="NoIcons" iconId="0"/>
              <x14:cfIcon iconSet="3TrafficLights1" iconId="2"/>
            </x14:iconSet>
          </x14:cfRule>
          <xm:sqref>H20</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17AE99-ACEA-479E-9AE8-E8063BD6155F}">
  <sheetPr>
    <tabColor rgb="FF093D33"/>
  </sheetPr>
  <dimension ref="A2:M20"/>
  <sheetViews>
    <sheetView showGridLines="0" zoomScale="110" zoomScaleNormal="110" workbookViewId="0">
      <pane xSplit="1" ySplit="21" topLeftCell="B22" activePane="bottomRight" state="frozen"/>
      <selection pane="topRight" activeCell="B1" sqref="B1"/>
      <selection pane="bottomLeft" activeCell="A22" sqref="A22"/>
      <selection pane="bottomRight" activeCell="J10" sqref="J10"/>
    </sheetView>
  </sheetViews>
  <sheetFormatPr defaultColWidth="8.7109375" defaultRowHeight="13.5"/>
  <cols>
    <col min="1" max="1" width="8.7109375" style="205"/>
    <col min="2" max="2" width="16.28515625" style="205" bestFit="1" customWidth="1"/>
    <col min="3" max="3" width="12" style="217" bestFit="1" customWidth="1"/>
    <col min="4" max="4" width="8.7109375" style="205"/>
    <col min="5" max="5" width="4.140625" style="205" customWidth="1"/>
    <col min="6" max="6" width="16.42578125" style="205" bestFit="1" customWidth="1"/>
    <col min="7" max="8" width="15.7109375" style="205" bestFit="1" customWidth="1"/>
    <col min="9" max="9" width="18.5703125" style="219" customWidth="1"/>
    <col min="10" max="10" width="14.28515625" style="205" bestFit="1" customWidth="1"/>
    <col min="11" max="16384" width="8.7109375" style="205"/>
  </cols>
  <sheetData>
    <row r="2" spans="1:13" ht="15">
      <c r="H2" s="218"/>
    </row>
    <row r="10" spans="1:13" ht="27">
      <c r="F10" s="228" t="s">
        <v>220</v>
      </c>
      <c r="G10" s="232" t="s">
        <v>118</v>
      </c>
      <c r="H10" s="232" t="s">
        <v>256</v>
      </c>
      <c r="I10" s="233" t="s">
        <v>221</v>
      </c>
      <c r="M10"/>
    </row>
    <row r="11" spans="1:13">
      <c r="A11" s="220"/>
      <c r="F11" s="229" t="str" cm="1">
        <f t="array" ref="F11:F15">'Metrics &amp; Statistics'!E5:E9</f>
        <v>Prospecting</v>
      </c>
      <c r="G11" s="210" cm="1">
        <f t="array" ref="G11:G15">'Metrics &amp; Statistics'!G5:G9</f>
        <v>0.16313858312164833</v>
      </c>
      <c r="H11" s="230" cm="1">
        <f t="array" ref="H11:H15">'Metrics &amp; Statistics'!F5:F9</f>
        <v>578000</v>
      </c>
      <c r="I11" s="231" cm="1">
        <f t="array" ref="I11:I15">'Metrics &amp; Statistics'!H5:H9</f>
        <v>104.8</v>
      </c>
      <c r="L11"/>
    </row>
    <row r="12" spans="1:13">
      <c r="F12" s="229" t="str">
        <v>Qualification</v>
      </c>
      <c r="G12" s="210">
        <v>0.12983347445667515</v>
      </c>
      <c r="H12" s="230">
        <v>460000</v>
      </c>
      <c r="I12" s="231">
        <v>106.2</v>
      </c>
    </row>
    <row r="13" spans="1:13">
      <c r="F13" s="229" t="str">
        <v>Needs Analysis</v>
      </c>
      <c r="G13" s="210">
        <v>0.27152130962461191</v>
      </c>
      <c r="H13" s="230">
        <v>962000</v>
      </c>
      <c r="I13" s="231">
        <v>86.333333333333329</v>
      </c>
    </row>
    <row r="14" spans="1:13">
      <c r="F14" s="229" t="str">
        <v>Value Proposition</v>
      </c>
      <c r="G14" s="210">
        <v>0.18063787750493931</v>
      </c>
      <c r="H14" s="230">
        <v>640000</v>
      </c>
      <c r="I14" s="231">
        <v>118</v>
      </c>
    </row>
    <row r="15" spans="1:13">
      <c r="F15" s="229" t="str">
        <v>Negotiation/Review</v>
      </c>
      <c r="G15" s="210">
        <v>0.25486875529212533</v>
      </c>
      <c r="H15" s="230">
        <v>903000</v>
      </c>
      <c r="I15" s="231">
        <v>112.66666666666667</v>
      </c>
    </row>
    <row r="16" spans="1:13" ht="9" customHeight="1">
      <c r="F16" s="114"/>
    </row>
    <row r="17" spans="6:9" ht="27">
      <c r="F17" s="228" t="str" cm="1">
        <f t="array" ref="F17:F20">'Metrics &amp; Statistics'!A41:A44</f>
        <v>Sales Rep</v>
      </c>
      <c r="G17" s="232" t="str" cm="1">
        <f t="array" ref="G17:G20">'Metrics &amp; Statistics'!D41:D44</f>
        <v>Win Rate</v>
      </c>
      <c r="H17" s="232" t="str" cm="1">
        <f t="array" ref="H17:H20">'Metrics &amp; Statistics'!G41:G44</f>
        <v>Current open ARR</v>
      </c>
      <c r="I17" s="233" t="str" cm="1">
        <f t="array" ref="I17:I20">'Metrics &amp; Statistics'!L41:L44</f>
        <v>Average Days since Opp start date</v>
      </c>
    </row>
    <row r="18" spans="6:9">
      <c r="F18" s="229" t="str">
        <v>Bob Johnson</v>
      </c>
      <c r="G18" s="210">
        <v>0.625</v>
      </c>
      <c r="H18" s="230">
        <v>1010000</v>
      </c>
      <c r="I18" s="231">
        <v>114.4375</v>
      </c>
    </row>
    <row r="19" spans="6:9">
      <c r="F19" s="229" t="str">
        <v>Charlie Brown</v>
      </c>
      <c r="G19" s="210">
        <v>0.6</v>
      </c>
      <c r="H19" s="230">
        <v>1510000</v>
      </c>
      <c r="I19" s="231">
        <v>109.0625</v>
      </c>
    </row>
    <row r="20" spans="6:9">
      <c r="F20" s="229" t="str">
        <v>Lucy Smith</v>
      </c>
      <c r="G20" s="210">
        <v>0.75</v>
      </c>
      <c r="H20" s="230">
        <v>1023000</v>
      </c>
      <c r="I20" s="231">
        <v>112.58823529411765</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56CD0E-10F3-4D86-A8E5-8121AEECA9DD}">
  <sheetPr>
    <tabColor rgb="FF093D33"/>
  </sheetPr>
  <dimension ref="A1:P76"/>
  <sheetViews>
    <sheetView showGridLines="0" zoomScale="110" zoomScaleNormal="110" workbookViewId="0">
      <pane ySplit="1" topLeftCell="A2" activePane="bottomLeft" state="frozen"/>
      <selection pane="bottomLeft"/>
    </sheetView>
  </sheetViews>
  <sheetFormatPr defaultColWidth="13.5703125" defaultRowHeight="15"/>
  <cols>
    <col min="1" max="1" width="36.7109375" style="63" bestFit="1" customWidth="1"/>
    <col min="2" max="2" width="13.42578125" style="73" bestFit="1" customWidth="1"/>
    <col min="3" max="3" width="12.7109375" style="73" bestFit="1" customWidth="1"/>
    <col min="4" max="4" width="17.28515625" style="73" bestFit="1" customWidth="1"/>
    <col min="5" max="5" width="28.7109375" style="63" bestFit="1" customWidth="1"/>
    <col min="6" max="6" width="18.42578125" style="63" bestFit="1" customWidth="1"/>
    <col min="7" max="7" width="12.140625" style="63" bestFit="1" customWidth="1"/>
    <col min="8" max="8" width="25.28515625" style="74" bestFit="1" customWidth="1"/>
    <col min="9" max="9" width="12.5703125" style="74" bestFit="1" customWidth="1"/>
    <col min="10" max="10" width="8.5703125" style="63" bestFit="1" customWidth="1"/>
    <col min="11" max="11" width="13.42578125" style="75" bestFit="1" customWidth="1"/>
    <col min="12" max="12" width="43.28515625" style="245" bestFit="1" customWidth="1"/>
    <col min="13" max="13" width="13.5703125" style="71"/>
    <col min="14" max="15" width="13.5703125" style="76"/>
    <col min="16" max="16384" width="13.5703125" style="63"/>
  </cols>
  <sheetData>
    <row r="1" spans="1:16" ht="24.75">
      <c r="A1" s="15" t="s">
        <v>117</v>
      </c>
      <c r="B1" s="57"/>
      <c r="C1" s="57"/>
      <c r="D1" s="57"/>
      <c r="E1" s="58"/>
      <c r="F1" s="58"/>
      <c r="G1" s="58"/>
      <c r="H1" s="59"/>
      <c r="I1" s="59"/>
      <c r="J1" s="58"/>
      <c r="K1" s="60"/>
      <c r="L1" s="237"/>
      <c r="M1" s="59"/>
      <c r="N1" s="61"/>
      <c r="O1" s="61"/>
      <c r="P1" s="62"/>
    </row>
    <row r="2" spans="1:16" s="70" customFormat="1" ht="24.75">
      <c r="A2" s="18" t="s">
        <v>161</v>
      </c>
      <c r="B2" s="64"/>
      <c r="C2" s="64"/>
      <c r="D2" s="64"/>
      <c r="E2" s="65"/>
      <c r="F2" s="65"/>
      <c r="G2" s="65"/>
      <c r="H2" s="66"/>
      <c r="I2" s="66"/>
      <c r="J2" s="65"/>
      <c r="K2" s="67"/>
      <c r="L2" s="238"/>
      <c r="M2" s="66"/>
      <c r="N2" s="68"/>
      <c r="O2" s="68"/>
      <c r="P2" s="69"/>
    </row>
    <row r="3" spans="1:16" s="144" customFormat="1" ht="13.5">
      <c r="A3" s="163" t="s">
        <v>219</v>
      </c>
      <c r="B3" s="134">
        <f>SUMIF(Data!L:L,"Open",Data!B:B)</f>
        <v>3543000</v>
      </c>
      <c r="C3" s="164"/>
      <c r="D3" s="164"/>
      <c r="E3" s="165" t="s">
        <v>113</v>
      </c>
      <c r="F3" s="166" t="s">
        <v>163</v>
      </c>
      <c r="G3" s="167" t="s">
        <v>118</v>
      </c>
      <c r="H3" s="167" t="s">
        <v>221</v>
      </c>
      <c r="I3" s="168"/>
      <c r="J3" s="169"/>
      <c r="K3" s="170"/>
      <c r="L3" s="239"/>
      <c r="M3" s="171"/>
      <c r="N3" s="172"/>
      <c r="O3" s="172"/>
    </row>
    <row r="4" spans="1:16" s="144" customFormat="1" ht="14.25" thickBot="1">
      <c r="B4" s="173"/>
      <c r="C4" s="174"/>
      <c r="D4" s="174"/>
      <c r="E4" s="175" t="s">
        <v>6</v>
      </c>
      <c r="F4" s="150"/>
      <c r="G4" s="150"/>
      <c r="H4" s="176" t="s">
        <v>186</v>
      </c>
      <c r="I4" s="148"/>
      <c r="L4" s="240"/>
    </row>
    <row r="5" spans="1:16" s="150" customFormat="1" ht="27.75" thickBot="1">
      <c r="A5" s="177" t="s">
        <v>112</v>
      </c>
      <c r="B5" s="178">
        <f>'Plan '!B7</f>
        <v>1215000</v>
      </c>
      <c r="C5" s="179" t="s">
        <v>192</v>
      </c>
      <c r="D5" s="180"/>
      <c r="E5" s="144" t="s">
        <v>47</v>
      </c>
      <c r="F5" s="135">
        <f>SUMIFS(
  Pipeline[Annual Recurring Revenue (ARR)],
  Pipeline[Stage], E5,
  Pipeline[General Stage], "Open"
)</f>
        <v>578000</v>
      </c>
      <c r="G5" s="181" cm="1">
        <f t="array" ref="G5">_xlfn.ANCHORARRAY(F5)/$F$11</f>
        <v>0.16313858312164833</v>
      </c>
      <c r="H5" s="158">
        <f>AVERAGEIFS(Pipeline[Days past since Opp creation], Pipeline[Stage], E5)</f>
        <v>104.8</v>
      </c>
      <c r="I5" s="181"/>
      <c r="L5" s="241"/>
    </row>
    <row r="6" spans="1:16" s="144" customFormat="1" ht="13.5">
      <c r="A6" s="144" t="s">
        <v>111</v>
      </c>
      <c r="B6" s="182">
        <f>B3/B5</f>
        <v>2.9160493827160492</v>
      </c>
      <c r="C6" s="183"/>
      <c r="D6" s="183"/>
      <c r="E6" s="144" t="s">
        <v>38</v>
      </c>
      <c r="F6" s="135">
        <f>SUMIFS(
  Pipeline[Annual Recurring Revenue (ARR)],
  Pipeline[Stage], E6,
  Pipeline[General Stage], "Open"
)</f>
        <v>460000</v>
      </c>
      <c r="G6" s="181" cm="1">
        <f t="array" ref="G6">_xlfn.ANCHORARRAY(F6)/$F$11</f>
        <v>0.12983347445667515</v>
      </c>
      <c r="H6" s="158">
        <f>AVERAGEIFS(Pipeline[Days past since Opp creation], Pipeline[Stage], E6)</f>
        <v>106.2</v>
      </c>
      <c r="I6" s="148"/>
      <c r="L6" s="240"/>
    </row>
    <row r="7" spans="1:16" s="144" customFormat="1" ht="13.5">
      <c r="A7" s="184"/>
      <c r="B7" s="183"/>
      <c r="C7" s="183"/>
      <c r="D7" s="183"/>
      <c r="E7" s="150" t="s">
        <v>41</v>
      </c>
      <c r="F7" s="135">
        <f>SUMIFS(
  Pipeline[Annual Recurring Revenue (ARR)],
  Pipeline[Stage], E7,
  Pipeline[General Stage], "Open"
)</f>
        <v>962000</v>
      </c>
      <c r="G7" s="181" cm="1">
        <f t="array" ref="G7">_xlfn.ANCHORARRAY(F7)/$F$11</f>
        <v>0.27152130962461191</v>
      </c>
      <c r="H7" s="158">
        <f>AVERAGEIFS(Pipeline[Days past since Opp creation], Pipeline[Stage], E7)</f>
        <v>86.333333333333329</v>
      </c>
      <c r="I7" s="148"/>
      <c r="L7" s="240"/>
    </row>
    <row r="8" spans="1:16" s="144" customFormat="1" ht="13.5">
      <c r="A8" s="165" t="s">
        <v>164</v>
      </c>
      <c r="B8" s="185">
        <f>AVERAGE(B11:B15)</f>
        <v>9.8000000000000007</v>
      </c>
      <c r="C8" s="183"/>
      <c r="D8" s="183"/>
      <c r="E8" s="144" t="s">
        <v>35</v>
      </c>
      <c r="F8" s="135">
        <f>SUMIFS(
  Pipeline[Annual Recurring Revenue (ARR)],
  Pipeline[Stage], E8,
  Pipeline[General Stage], "Open"
)</f>
        <v>640000</v>
      </c>
      <c r="G8" s="181" cm="1">
        <f t="array" ref="G8">_xlfn.ANCHORARRAY(F8)/$F$11</f>
        <v>0.18063787750493931</v>
      </c>
      <c r="H8" s="158">
        <f>AVERAGEIFS(Pipeline[Days past since Opp creation], Pipeline[Stage], E8)</f>
        <v>118</v>
      </c>
      <c r="I8" s="148"/>
      <c r="L8" s="240"/>
    </row>
    <row r="9" spans="1:16" s="144" customFormat="1" ht="13.5">
      <c r="A9" s="165"/>
      <c r="B9" s="186"/>
      <c r="C9" s="183"/>
      <c r="D9" s="183"/>
      <c r="E9" s="144" t="s">
        <v>26</v>
      </c>
      <c r="F9" s="135">
        <f>SUMIFS(
  Pipeline[Annual Recurring Revenue (ARR)],
  Pipeline[Stage], E9,
  Pipeline[General Stage], "Open"
)</f>
        <v>903000</v>
      </c>
      <c r="G9" s="181" cm="1">
        <f t="array" ref="G9">_xlfn.ANCHORARRAY(F9)/$F$11</f>
        <v>0.25486875529212533</v>
      </c>
      <c r="H9" s="158">
        <f>AVERAGEIFS(Pipeline[Days past since Opp creation], Pipeline[Stage], E9)</f>
        <v>112.66666666666667</v>
      </c>
      <c r="I9" s="148"/>
      <c r="L9" s="240"/>
    </row>
    <row r="10" spans="1:16" s="144" customFormat="1" ht="13.5">
      <c r="A10" s="165" t="s">
        <v>124</v>
      </c>
      <c r="B10" s="187" t="s">
        <v>176</v>
      </c>
      <c r="C10" s="250" t="s">
        <v>224</v>
      </c>
      <c r="D10" s="183"/>
      <c r="G10" s="148"/>
      <c r="H10" s="146"/>
      <c r="I10" s="148"/>
      <c r="L10" s="240"/>
    </row>
    <row r="11" spans="1:16" s="144" customFormat="1" ht="13.5">
      <c r="A11" s="234">
        <v>45748</v>
      </c>
      <c r="B11" s="186">
        <f>COUNTIFS(
   Pipeline[Opportunity Create Date], "&gt;=" &amp; A11,
   Pipeline[Opportunity Create Date], "&lt;"  &amp; EDATE(A11,1)
)</f>
        <v>18</v>
      </c>
      <c r="C11" s="209">
        <f>SUMIFS(
  Pipeline[Annual Recurring Revenue (ARR)],
  Pipeline[Close Date], "&gt;=" &amp; A11,
  Pipeline[Close Date], "&lt;"  &amp; EDATE(A11,1),
  Pipeline[Stage], "Closed Won" )</f>
        <v>0</v>
      </c>
      <c r="D11" s="183"/>
      <c r="E11" s="184" t="s">
        <v>99</v>
      </c>
      <c r="F11" s="188">
        <f>SUM(F5:F10)</f>
        <v>3543000</v>
      </c>
      <c r="G11" s="189">
        <f>SUM(G5:G10)</f>
        <v>1</v>
      </c>
      <c r="H11" s="146"/>
      <c r="I11" s="148"/>
      <c r="L11" s="240"/>
    </row>
    <row r="12" spans="1:16" s="144" customFormat="1" ht="13.5">
      <c r="A12" s="234">
        <v>45778</v>
      </c>
      <c r="B12" s="186">
        <f>COUNTIFS(
   Pipeline[Opportunity Create Date], "&gt;=" &amp; A12,
   Pipeline[Opportunity Create Date], "&lt;"  &amp; EDATE(A12,1)
)</f>
        <v>19</v>
      </c>
      <c r="C12" s="209">
        <f>SUMIFS(
  Pipeline[Annual Recurring Revenue (ARR)],
  Pipeline[Close Date], "&gt;=" &amp; A12,
  Pipeline[Close Date], "&lt;"  &amp; EDATE(A12,1),
  Pipeline[Stage], "Closed Won" )</f>
        <v>60000</v>
      </c>
      <c r="D12" s="183"/>
      <c r="G12" s="157"/>
      <c r="H12" s="181"/>
      <c r="I12" s="148"/>
      <c r="L12" s="240"/>
    </row>
    <row r="13" spans="1:16" s="144" customFormat="1" ht="13.5">
      <c r="A13" s="234">
        <v>45809</v>
      </c>
      <c r="B13" s="186">
        <f>COUNTIFS(
   Pipeline[Opportunity Create Date], "&gt;=" &amp; A13,
   Pipeline[Opportunity Create Date], "&lt;"  &amp; EDATE(A13,1)
)</f>
        <v>9</v>
      </c>
      <c r="C13" s="209">
        <f>SUMIFS(
  Pipeline[Annual Recurring Revenue (ARR)],
  Pipeline[Close Date], "&gt;=" &amp; A13,
  Pipeline[Close Date], "&lt;"  &amp; EDATE(A13,1),
  Pipeline[Stage], "Closed Won" )</f>
        <v>555000</v>
      </c>
      <c r="D13" s="183"/>
      <c r="G13" s="157"/>
      <c r="H13" s="181"/>
      <c r="I13" s="148"/>
      <c r="L13" s="240"/>
    </row>
    <row r="14" spans="1:16" s="144" customFormat="1" ht="13.5">
      <c r="A14" s="234">
        <v>45839</v>
      </c>
      <c r="B14" s="186">
        <f>COUNTIFS(
   Pipeline[Opportunity Create Date], "&gt;=" &amp; A14,
   Pipeline[Opportunity Create Date], "&lt;"  &amp; EDATE(A14,1)
)</f>
        <v>2</v>
      </c>
      <c r="C14" s="209">
        <f>SUMIFS(
  Pipeline[Annual Recurring Revenue (ARR)],
  Pipeline[Close Date], "&gt;=" &amp; A14,
  Pipeline[Close Date], "&lt;"  &amp; EDATE(A14,1),
  Pipeline[Stage], "Closed Won" )</f>
        <v>256000</v>
      </c>
      <c r="D14" s="183"/>
      <c r="G14" s="157"/>
      <c r="H14" s="181"/>
      <c r="I14" s="148"/>
      <c r="L14" s="240"/>
    </row>
    <row r="15" spans="1:16" s="144" customFormat="1" ht="13.5">
      <c r="A15" s="234">
        <v>45870</v>
      </c>
      <c r="B15" s="186">
        <f>COUNTIFS(
   Pipeline[Opportunity Create Date], "&gt;=" &amp; A15,
   Pipeline[Opportunity Create Date], "&lt;"  &amp; EDATE(A15,1)
)</f>
        <v>1</v>
      </c>
      <c r="C15" s="209">
        <f>SUMIFS(
  Pipeline[Annual Recurring Revenue (ARR)],
  Pipeline[Close Date], "&gt;=" &amp; A15,
  Pipeline[Close Date], "&lt;"  &amp; EDATE(A15,1),
  Pipeline[Stage], "Closed Won" )</f>
        <v>0</v>
      </c>
      <c r="D15" s="183"/>
      <c r="G15" s="157"/>
      <c r="H15" s="181"/>
      <c r="I15" s="148"/>
      <c r="L15" s="240"/>
    </row>
    <row r="16" spans="1:16" s="144" customFormat="1" ht="13.5">
      <c r="A16" s="165"/>
      <c r="B16" s="186"/>
      <c r="C16" s="183"/>
      <c r="D16" s="183"/>
      <c r="G16" s="157"/>
      <c r="H16" s="181"/>
      <c r="I16" s="148"/>
      <c r="L16" s="240"/>
    </row>
    <row r="17" spans="1:15" s="144" customFormat="1" ht="13.5">
      <c r="A17" s="165" t="s">
        <v>114</v>
      </c>
      <c r="B17" s="145"/>
      <c r="C17" s="145"/>
      <c r="D17" s="145"/>
      <c r="E17" s="165" t="s">
        <v>166</v>
      </c>
      <c r="H17" s="146"/>
      <c r="I17" s="148"/>
      <c r="L17" s="240"/>
    </row>
    <row r="18" spans="1:15" s="144" customFormat="1" ht="13.5">
      <c r="A18" s="184" t="s">
        <v>165</v>
      </c>
      <c r="B18" s="135">
        <f>AVERAGEIF(Data!L:L,"Closed",Data!B:B)</f>
        <v>57857.142857142855</v>
      </c>
      <c r="C18" s="190"/>
      <c r="D18" s="190"/>
      <c r="H18" s="146"/>
      <c r="I18" s="148"/>
      <c r="K18" s="147"/>
      <c r="L18" s="242"/>
      <c r="M18" s="148"/>
      <c r="N18" s="149"/>
      <c r="O18" s="149"/>
    </row>
    <row r="19" spans="1:15" s="144" customFormat="1" ht="13.5">
      <c r="A19" s="184" t="s">
        <v>92</v>
      </c>
      <c r="B19" s="135">
        <f>AVERAGEIF(Data!G:G,"Closed won",Data!B:B)</f>
        <v>62214.285714285717</v>
      </c>
      <c r="C19" s="190"/>
      <c r="D19" s="190"/>
      <c r="E19" s="184" t="s">
        <v>182</v>
      </c>
      <c r="F19" s="159">
        <f>COUNTIF(
  Pipeline[General Stage], "Open"
)</f>
        <v>28</v>
      </c>
      <c r="H19" s="146"/>
      <c r="I19" s="148"/>
      <c r="K19" s="147"/>
      <c r="L19" s="242"/>
      <c r="M19" s="148"/>
      <c r="N19" s="149"/>
      <c r="O19" s="149"/>
    </row>
    <row r="20" spans="1:15" s="144" customFormat="1" ht="13.5">
      <c r="A20" s="184" t="s">
        <v>93</v>
      </c>
      <c r="B20" s="135">
        <f>AVERAGEIF(Data!G:G,"Closed Lost",Data!B:B)</f>
        <v>49142.857142857145</v>
      </c>
      <c r="C20" s="190"/>
      <c r="D20" s="190"/>
      <c r="E20" s="184" t="s">
        <v>178</v>
      </c>
      <c r="F20" s="159">
        <f>COUNTIF(
  Pipeline[Overdue], "Overdue"
)</f>
        <v>12</v>
      </c>
      <c r="H20" s="146"/>
      <c r="I20" s="148"/>
      <c r="K20" s="147"/>
      <c r="L20" s="242"/>
      <c r="M20" s="148"/>
      <c r="N20" s="149"/>
      <c r="O20" s="149"/>
    </row>
    <row r="21" spans="1:15" s="144" customFormat="1" ht="13.5">
      <c r="A21" s="184" t="s">
        <v>183</v>
      </c>
      <c r="B21" s="135">
        <f>AVERAGEIF(Data!L:L,"Open",Data!B:B)</f>
        <v>126535.71428571429</v>
      </c>
      <c r="C21" s="252"/>
      <c r="D21" s="190"/>
      <c r="E21" s="184" t="s">
        <v>179</v>
      </c>
      <c r="F21" s="148">
        <f>F20/F19</f>
        <v>0.42857142857142855</v>
      </c>
      <c r="H21" s="148"/>
      <c r="I21" s="148"/>
      <c r="K21" s="147"/>
      <c r="L21" s="242"/>
      <c r="M21" s="148"/>
      <c r="N21" s="149"/>
      <c r="O21" s="149"/>
    </row>
    <row r="22" spans="1:15" s="144" customFormat="1" ht="13.5">
      <c r="A22" s="184" t="s">
        <v>184</v>
      </c>
      <c r="B22" s="135">
        <f>AVERAGE(Data!B:B)</f>
        <v>97102.040816326524</v>
      </c>
      <c r="C22" s="190"/>
      <c r="D22" s="190"/>
      <c r="E22" s="184" t="s">
        <v>100</v>
      </c>
      <c r="F22" s="191">
        <f>SUMIFS(
  Pipeline[Annual Recurring Revenue (ARR)],
  Pipeline[Overdue], "Overdue"
)</f>
        <v>1318000</v>
      </c>
      <c r="G22" s="235">
        <f>F22</f>
        <v>1318000</v>
      </c>
      <c r="H22" s="148"/>
      <c r="I22" s="148"/>
      <c r="K22" s="147"/>
      <c r="L22" s="243"/>
      <c r="M22" s="148"/>
      <c r="N22" s="149"/>
      <c r="O22" s="149"/>
    </row>
    <row r="23" spans="1:15" s="144" customFormat="1" ht="13.5">
      <c r="B23" s="190"/>
      <c r="C23" s="190"/>
      <c r="D23" s="190"/>
      <c r="H23" s="148"/>
      <c r="I23" s="148"/>
      <c r="K23" s="147"/>
      <c r="L23" s="242"/>
      <c r="M23" s="148"/>
      <c r="N23" s="149"/>
      <c r="O23" s="149"/>
    </row>
    <row r="24" spans="1:15" s="144" customFormat="1" ht="13.5">
      <c r="A24" s="165" t="s">
        <v>90</v>
      </c>
      <c r="B24" s="145"/>
      <c r="C24" s="145"/>
      <c r="D24" s="254" t="s">
        <v>226</v>
      </c>
      <c r="G24" s="184"/>
      <c r="H24" s="148"/>
      <c r="I24" s="148"/>
      <c r="K24" s="147"/>
      <c r="L24" s="242"/>
      <c r="M24" s="148"/>
      <c r="N24" s="149"/>
      <c r="O24" s="149"/>
    </row>
    <row r="25" spans="1:15" s="144" customFormat="1" ht="13.5">
      <c r="A25" s="192" t="s">
        <v>115</v>
      </c>
      <c r="B25" s="149">
        <f>AVERAGEIFS(Data!$M:$M, Data!$G:$G, "Closed Won", Data!$M:$M, "&gt;0")</f>
        <v>54.846153846153847</v>
      </c>
      <c r="C25">
        <f>IF(B25&lt;'Plan '!B16,1,0)</f>
        <v>1</v>
      </c>
      <c r="D25" s="253">
        <f>'Plan '!B16</f>
        <v>60</v>
      </c>
      <c r="F25" s="184"/>
      <c r="H25" s="148"/>
      <c r="I25" s="148"/>
      <c r="K25" s="147"/>
      <c r="L25" s="242"/>
      <c r="M25" s="148"/>
      <c r="N25" s="149"/>
      <c r="O25" s="149"/>
    </row>
    <row r="26" spans="1:15" s="144" customFormat="1" ht="13.5">
      <c r="A26" s="192" t="s">
        <v>116</v>
      </c>
      <c r="B26" s="149">
        <f>IFERROR(AVERAGEIF(Data!$G:$G,"Closed Won",Data!$M:$M),"")</f>
        <v>49.142857142857146</v>
      </c>
      <c r="C26" s="149"/>
      <c r="D26" s="149"/>
      <c r="H26" s="148"/>
      <c r="I26" s="148"/>
      <c r="K26" s="147"/>
      <c r="L26" s="242"/>
      <c r="M26" s="148"/>
      <c r="N26" s="149"/>
      <c r="O26" s="149"/>
    </row>
    <row r="27" spans="1:15" s="144" customFormat="1" ht="13.5">
      <c r="A27" s="192"/>
      <c r="B27" s="149"/>
      <c r="C27" s="149"/>
      <c r="D27" s="149"/>
      <c r="H27" s="148"/>
      <c r="I27" s="148"/>
      <c r="K27" s="147"/>
      <c r="L27" s="242"/>
      <c r="M27" s="148"/>
      <c r="N27" s="149"/>
      <c r="O27" s="149"/>
    </row>
    <row r="28" spans="1:15" s="144" customFormat="1" ht="13.5">
      <c r="A28" s="193" t="s">
        <v>160</v>
      </c>
      <c r="B28" s="194" t="s">
        <v>180</v>
      </c>
      <c r="C28" s="194" t="s">
        <v>181</v>
      </c>
      <c r="D28" s="145"/>
      <c r="E28" s="254" t="s">
        <v>226</v>
      </c>
      <c r="F28" s="184"/>
      <c r="H28" s="146"/>
      <c r="I28" s="146"/>
      <c r="K28" s="147"/>
      <c r="L28" s="242"/>
      <c r="M28" s="148"/>
      <c r="N28" s="149"/>
      <c r="O28" s="149"/>
    </row>
    <row r="29" spans="1:15" s="144" customFormat="1" ht="13.5">
      <c r="A29" s="144" t="s">
        <v>94</v>
      </c>
      <c r="B29" s="144">
        <f>COUNTIF(Data!G:G,"Closed Won")</f>
        <v>14</v>
      </c>
      <c r="C29" s="148">
        <f>B29/$B$31</f>
        <v>0.66666666666666663</v>
      </c>
      <c r="D29">
        <f>IF(C29&gt;'Plan '!B14,1,0)</f>
        <v>1</v>
      </c>
      <c r="E29" s="255">
        <f>'Plan '!B14</f>
        <v>0.65</v>
      </c>
      <c r="H29" s="148"/>
      <c r="I29" s="148"/>
      <c r="K29" s="147"/>
      <c r="L29" s="242"/>
      <c r="M29" s="148"/>
      <c r="N29" s="149"/>
      <c r="O29" s="149"/>
    </row>
    <row r="30" spans="1:15" s="144" customFormat="1" ht="13.5">
      <c r="A30" s="144" t="s">
        <v>95</v>
      </c>
      <c r="B30" s="196">
        <f>COUNTIF(Data!G:G,"Closed Lost")</f>
        <v>7</v>
      </c>
      <c r="C30" s="148">
        <f>B30/$B$31</f>
        <v>0.33333333333333331</v>
      </c>
      <c r="D30" s="145"/>
      <c r="F30" s="184"/>
      <c r="H30" s="146"/>
      <c r="I30" s="146"/>
      <c r="K30" s="147"/>
      <c r="L30" s="242"/>
      <c r="M30" s="148"/>
      <c r="N30" s="149"/>
      <c r="O30" s="149"/>
    </row>
    <row r="31" spans="1:15" s="144" customFormat="1" ht="13.5">
      <c r="B31" s="197">
        <f>SUM(B29:B30)</f>
        <v>21</v>
      </c>
      <c r="C31" s="198">
        <f>SUM(C29:C30)</f>
        <v>1</v>
      </c>
      <c r="D31" s="145"/>
      <c r="G31" s="184"/>
      <c r="H31" s="148"/>
      <c r="I31" s="148"/>
      <c r="K31" s="147"/>
      <c r="L31" s="242"/>
      <c r="M31" s="148"/>
      <c r="N31" s="149"/>
      <c r="O31" s="149"/>
    </row>
    <row r="32" spans="1:15" s="144" customFormat="1" ht="13.5">
      <c r="B32" s="145"/>
      <c r="C32" s="145"/>
      <c r="D32" s="145"/>
      <c r="E32" s="184"/>
      <c r="F32" s="184"/>
      <c r="G32" s="184"/>
      <c r="H32" s="148"/>
      <c r="I32" s="148"/>
      <c r="K32" s="147"/>
      <c r="L32" s="242"/>
      <c r="M32" s="148"/>
      <c r="N32" s="149"/>
      <c r="O32" s="149"/>
    </row>
    <row r="33" spans="1:15" s="144" customFormat="1" ht="13.5">
      <c r="A33" s="193" t="s">
        <v>171</v>
      </c>
      <c r="B33" s="199" t="s">
        <v>172</v>
      </c>
      <c r="C33" s="200" t="s">
        <v>174</v>
      </c>
      <c r="D33" s="199" t="s">
        <v>94</v>
      </c>
      <c r="E33" s="200" t="s">
        <v>174</v>
      </c>
      <c r="F33" s="200" t="s">
        <v>185</v>
      </c>
      <c r="G33" s="200" t="s">
        <v>174</v>
      </c>
      <c r="H33" s="148"/>
      <c r="I33" s="148"/>
      <c r="K33" s="147"/>
      <c r="L33" s="242"/>
      <c r="M33" s="148"/>
      <c r="N33" s="149"/>
      <c r="O33" s="149"/>
    </row>
    <row r="34" spans="1:15" s="144" customFormat="1" ht="13.5">
      <c r="A34" s="144" t="str" cm="1">
        <f t="array" ref="A34:A35">_xlfn._xlws.SORT(_xlfn.UNIQUE(Pipeline[Product Line]))</f>
        <v>Services</v>
      </c>
      <c r="B34" s="40" cm="1">
        <f t="array" ref="B34:B35">COUNTIFS(Pipeline[Product Line],_xlfn.ANCHORARRAY( A34), Pipeline[General Stage], "Closed")</f>
        <v>9</v>
      </c>
      <c r="C34" s="148" cm="1">
        <f t="array" ref="C34:C35">_xlfn.ANCHORARRAY(B34)/$B$36</f>
        <v>0.42857142857142855</v>
      </c>
      <c r="D34" s="40" cm="1">
        <f t="array" ref="D34:D35">COUNTIFS(Pipeline[Product Line],_xlfn.ANCHORARRAY( A34), Pipeline[Stage], "Closed Won")</f>
        <v>7</v>
      </c>
      <c r="E34" s="148" cm="1">
        <f t="array" ref="E34:E35">_xlfn.ANCHORARRAY(D34)/$D$36</f>
        <v>0.5</v>
      </c>
      <c r="F34" s="40" cm="1">
        <f t="array" ref="F34:F35">COUNTIFS(Pipeline[Product Line],_xlfn.ANCHORARRAY( A34), Pipeline[General Stage], "Open")</f>
        <v>5</v>
      </c>
      <c r="G34" s="148" cm="1">
        <f t="array" ref="G34:G35">_xlfn.ANCHORARRAY(F34)/$F$36</f>
        <v>0.17857142857142858</v>
      </c>
      <c r="H34" s="146"/>
      <c r="I34" s="146"/>
      <c r="K34" s="147"/>
      <c r="L34" s="242"/>
      <c r="M34" s="148"/>
      <c r="N34" s="149"/>
      <c r="O34" s="149"/>
    </row>
    <row r="35" spans="1:15" s="144" customFormat="1" ht="13.5">
      <c r="A35" s="144" t="str">
        <v>Software</v>
      </c>
      <c r="B35" s="201">
        <v>12</v>
      </c>
      <c r="C35" s="202">
        <v>0.5714285714285714</v>
      </c>
      <c r="D35" s="203">
        <v>7</v>
      </c>
      <c r="E35" s="202">
        <v>0.5</v>
      </c>
      <c r="F35" s="203">
        <v>23</v>
      </c>
      <c r="G35" s="202">
        <v>0.8214285714285714</v>
      </c>
      <c r="H35" s="148"/>
      <c r="I35" s="148"/>
      <c r="K35" s="147"/>
      <c r="L35" s="242"/>
      <c r="M35" s="148"/>
      <c r="N35" s="149"/>
      <c r="O35" s="149"/>
    </row>
    <row r="36" spans="1:15" s="144" customFormat="1" ht="13.5">
      <c r="B36" s="204">
        <f>SUM(_xlfn.ANCHORARRAY(B34))</f>
        <v>21</v>
      </c>
      <c r="C36" s="198">
        <f t="shared" ref="C36:G36" si="0">SUM(_xlfn.ANCHORARRAY(C34))</f>
        <v>1</v>
      </c>
      <c r="D36" s="204">
        <f t="shared" si="0"/>
        <v>14</v>
      </c>
      <c r="E36" s="198">
        <f t="shared" si="0"/>
        <v>1</v>
      </c>
      <c r="F36" s="204">
        <f t="shared" si="0"/>
        <v>28</v>
      </c>
      <c r="G36" s="198">
        <f t="shared" si="0"/>
        <v>1</v>
      </c>
      <c r="H36" s="146"/>
      <c r="I36" s="146"/>
      <c r="K36" s="147"/>
      <c r="L36" s="242"/>
      <c r="M36" s="148"/>
      <c r="N36" s="149"/>
      <c r="O36" s="149"/>
    </row>
    <row r="37" spans="1:15" s="138" customFormat="1" ht="12.75">
      <c r="B37" s="141"/>
      <c r="C37" s="141"/>
      <c r="D37" s="141"/>
      <c r="E37" s="140"/>
      <c r="F37" s="140"/>
      <c r="H37" s="139"/>
      <c r="I37" s="139"/>
      <c r="K37" s="142"/>
      <c r="L37" s="244"/>
      <c r="M37" s="139"/>
      <c r="N37" s="143"/>
      <c r="O37" s="143"/>
    </row>
    <row r="38" spans="1:15" ht="24.75">
      <c r="A38" s="18" t="s">
        <v>162</v>
      </c>
      <c r="F38" s="72"/>
      <c r="H38" s="71"/>
      <c r="I38" s="71"/>
    </row>
    <row r="39" spans="1:15" s="144" customFormat="1" ht="13.5">
      <c r="B39" s="145"/>
      <c r="C39" s="145"/>
      <c r="D39" s="145"/>
      <c r="H39" s="146"/>
      <c r="I39" s="146"/>
      <c r="K39" s="147"/>
      <c r="L39" s="242"/>
      <c r="M39" s="148"/>
      <c r="N39" s="149"/>
      <c r="O39" s="149"/>
    </row>
    <row r="40" spans="1:15" s="144" customFormat="1" ht="13.5">
      <c r="A40" s="150"/>
      <c r="B40" s="267" t="s">
        <v>155</v>
      </c>
      <c r="C40" s="268"/>
      <c r="D40" s="268"/>
      <c r="E40" s="268"/>
      <c r="F40" s="269"/>
      <c r="G40" s="150"/>
      <c r="H40" s="150"/>
      <c r="I40" s="150"/>
      <c r="K40" s="147"/>
      <c r="L40" s="242"/>
      <c r="M40" s="148"/>
      <c r="N40" s="149"/>
      <c r="O40" s="149"/>
    </row>
    <row r="41" spans="1:15" s="144" customFormat="1" ht="40.5">
      <c r="A41" s="151" t="s">
        <v>4</v>
      </c>
      <c r="B41" s="152" t="s">
        <v>157</v>
      </c>
      <c r="C41" s="152" t="s">
        <v>158</v>
      </c>
      <c r="D41" s="249" t="s">
        <v>86</v>
      </c>
      <c r="E41" s="154" t="s">
        <v>152</v>
      </c>
      <c r="F41" s="154" t="s">
        <v>154</v>
      </c>
      <c r="G41" s="155" t="s">
        <v>153</v>
      </c>
      <c r="H41" s="155" t="s">
        <v>156</v>
      </c>
      <c r="I41" s="155" t="s">
        <v>159</v>
      </c>
      <c r="J41" s="155" t="s">
        <v>167</v>
      </c>
      <c r="K41" s="155" t="s">
        <v>168</v>
      </c>
      <c r="L41" s="155" t="s">
        <v>222</v>
      </c>
      <c r="M41" s="148"/>
      <c r="N41" s="149"/>
      <c r="O41" s="149"/>
    </row>
    <row r="42" spans="1:15" s="144" customFormat="1" ht="13.5">
      <c r="A42" s="144" t="str" cm="1">
        <f t="array" ref="A42:A44">_xlfn._xlws.SORT(_xlfn.UNIQUE(Pipeline[Sales Rep]))</f>
        <v>Bob Johnson</v>
      </c>
      <c r="B42" s="41" cm="1">
        <f t="array" ref="B42:B44">COUNTIFS(Pipeline[Sales Rep],_xlfn.ANCHORARRAY( A42), Pipeline[General Stage], "Closed")</f>
        <v>8</v>
      </c>
      <c r="C42" s="41" cm="1">
        <f t="array" ref="C42:C44">COUNTIFS(Pipeline[Sales Rep],_xlfn.ANCHORARRAY( A42), Pipeline[Stage], "Closed Won")</f>
        <v>5</v>
      </c>
      <c r="D42" s="156" cm="1">
        <f t="array" ref="D42:D44">_xlfn.ANCHORARRAY(C42)/_xlfn.ANCHORARRAY(B42)</f>
        <v>0.625</v>
      </c>
      <c r="E42" s="157" cm="1">
        <f t="array" ref="E42:E44">AVERAGEIFS(
  Pipeline[Annual Recurring Revenue (ARR)],
  Pipeline[Sales Rep],_xlfn.ANCHORARRAY( A42),
  Pipeline[Stage], "Closed Won"
)</f>
        <v>54000</v>
      </c>
      <c r="F42" s="158" cm="1">
        <f t="array" ref="F42:F44">AVERAGEIFS(
  Pipeline[Sales Close Days],
  Pipeline[Sales Rep],_xlfn.ANCHORARRAY( A42),
  Pipeline[Stage], "Closed Won"
)</f>
        <v>40.799999999999997</v>
      </c>
      <c r="G42" s="157" cm="1">
        <f t="array" ref="G42:G44">SUMIFS(
  Pipeline[Annual Recurring Revenue (ARR)],
  Pipeline[Sales Rep],_xlfn.ANCHORARRAY( A42),
  Pipeline[General Stage], "Open"
)</f>
        <v>1010000</v>
      </c>
      <c r="H42" s="159" cm="1">
        <f t="array" ref="H42:H44">COUNTIFS(
  Pipeline[Sales Rep],_xlfn.ANCHORARRAY( A42),
  Pipeline[General Stage], "Open"
)</f>
        <v>8</v>
      </c>
      <c r="I42" s="157" cm="1">
        <f t="array" ref="I42:I44">AVERAGEIFS(
  Pipeline[Annual Recurring Revenue (ARR)],
  Pipeline[Sales Rep],_xlfn.ANCHORARRAY( A42),
  Pipeline[General Stage], "Open"
)</f>
        <v>126250</v>
      </c>
      <c r="J42" s="144" cm="1">
        <f t="array" ref="J42:J44">COUNTIFS(
  Pipeline[Sales Rep],_xlfn.ANCHORARRAY( A42),
  Pipeline[Overdue], "Overdue"
)</f>
        <v>4</v>
      </c>
      <c r="K42" s="157" cm="1">
        <f t="array" ref="K42:K44">SUMIFS(
  Pipeline[Annual Recurring Revenue (ARR)],
  Pipeline[Sales Rep],_xlfn.ANCHORARRAY( A42),
  Pipeline[Overdue], "Overdue"
)</f>
        <v>425000</v>
      </c>
      <c r="L42" s="246" cm="1">
        <f t="array" ref="L42:L44">AVERAGEIFS(Pipeline[Days past since Opp creation], Pipeline[Sales Rep],_xlfn.ANCHORARRAY( A42))</f>
        <v>114.4375</v>
      </c>
      <c r="M42" s="148"/>
      <c r="N42" s="149"/>
      <c r="O42" s="149"/>
    </row>
    <row r="43" spans="1:15" s="144" customFormat="1" ht="13.5">
      <c r="A43" s="144" t="str">
        <v>Charlie Brown</v>
      </c>
      <c r="B43" s="160">
        <v>5</v>
      </c>
      <c r="C43" s="160">
        <v>3</v>
      </c>
      <c r="D43" s="156">
        <v>0.6</v>
      </c>
      <c r="E43" s="157">
        <v>63666.666666666664</v>
      </c>
      <c r="F43" s="158">
        <v>46.333333333333336</v>
      </c>
      <c r="G43" s="157">
        <v>1510000</v>
      </c>
      <c r="H43" s="144">
        <v>11</v>
      </c>
      <c r="I43" s="157">
        <v>137272.72727272726</v>
      </c>
      <c r="J43" s="144">
        <v>5</v>
      </c>
      <c r="K43" s="157">
        <v>625000</v>
      </c>
      <c r="L43" s="247">
        <v>109.0625</v>
      </c>
      <c r="M43" s="148"/>
      <c r="N43" s="149"/>
      <c r="O43" s="149"/>
    </row>
    <row r="44" spans="1:15" s="144" customFormat="1" ht="13.5">
      <c r="A44" s="144" t="str">
        <v>Lucy Smith</v>
      </c>
      <c r="B44" s="160">
        <v>8</v>
      </c>
      <c r="C44" s="160">
        <v>6</v>
      </c>
      <c r="D44" s="156">
        <v>0.75</v>
      </c>
      <c r="E44" s="157">
        <v>68333.333333333328</v>
      </c>
      <c r="F44" s="158">
        <v>57.5</v>
      </c>
      <c r="G44" s="157">
        <v>1023000</v>
      </c>
      <c r="H44" s="144">
        <v>9</v>
      </c>
      <c r="I44" s="157">
        <v>113666.66666666667</v>
      </c>
      <c r="J44" s="144">
        <v>3</v>
      </c>
      <c r="K44" s="157">
        <v>268000</v>
      </c>
      <c r="L44" s="247">
        <v>112.58823529411765</v>
      </c>
      <c r="M44" s="148"/>
      <c r="N44" s="149"/>
      <c r="O44" s="149"/>
    </row>
    <row r="45" spans="1:15" s="144" customFormat="1" ht="13.5">
      <c r="B45" s="145"/>
      <c r="C45" s="145"/>
      <c r="D45" s="145"/>
      <c r="H45" s="146"/>
      <c r="I45" s="146"/>
      <c r="K45" s="147"/>
      <c r="L45" s="242"/>
      <c r="M45" s="148"/>
      <c r="N45" s="149"/>
      <c r="O45" s="149"/>
    </row>
    <row r="46" spans="1:15" s="144" customFormat="1" ht="13.5">
      <c r="B46" s="145"/>
      <c r="C46" s="145"/>
      <c r="D46" s="145"/>
      <c r="H46" s="146"/>
      <c r="I46" s="146"/>
      <c r="J46" s="161">
        <f>SUM(J42:J45)</f>
        <v>12</v>
      </c>
      <c r="K46" s="162">
        <f>SUM(K42:K45)</f>
        <v>1318000</v>
      </c>
      <c r="L46" s="236" t="str">
        <f>IF(K46&lt;&gt;$F$22,"⚠ Rows with blank spaces cause inaccuracy in data","")</f>
        <v/>
      </c>
      <c r="M46" s="148"/>
      <c r="N46" s="149"/>
      <c r="O46" s="149"/>
    </row>
    <row r="48" spans="1:15" ht="24.75">
      <c r="A48" s="18" t="s">
        <v>169</v>
      </c>
    </row>
    <row r="49" spans="1:15" s="144" customFormat="1" ht="13.5">
      <c r="B49" s="145"/>
      <c r="C49" s="145"/>
      <c r="D49" s="145"/>
      <c r="H49" s="146"/>
      <c r="I49" s="146"/>
      <c r="K49" s="147"/>
      <c r="L49" s="242"/>
      <c r="M49" s="148"/>
      <c r="N49" s="149"/>
      <c r="O49" s="149"/>
    </row>
    <row r="50" spans="1:15" s="144" customFormat="1" ht="13.5">
      <c r="A50" s="150"/>
      <c r="B50" s="267" t="s">
        <v>155</v>
      </c>
      <c r="C50" s="268"/>
      <c r="D50" s="268"/>
      <c r="E50" s="268"/>
      <c r="F50" s="269"/>
      <c r="G50" s="150"/>
      <c r="H50" s="150"/>
      <c r="I50" s="150"/>
      <c r="K50" s="147"/>
      <c r="L50" s="242"/>
      <c r="M50" s="148"/>
      <c r="N50" s="149"/>
      <c r="O50" s="149"/>
    </row>
    <row r="51" spans="1:15" s="144" customFormat="1" ht="40.5">
      <c r="A51" s="151" t="s">
        <v>9</v>
      </c>
      <c r="B51" s="152" t="s">
        <v>157</v>
      </c>
      <c r="C51" s="152" t="s">
        <v>158</v>
      </c>
      <c r="D51" s="153" t="s">
        <v>86</v>
      </c>
      <c r="E51" s="154" t="s">
        <v>152</v>
      </c>
      <c r="F51" s="154" t="s">
        <v>154</v>
      </c>
      <c r="G51" s="155" t="s">
        <v>153</v>
      </c>
      <c r="H51" s="155" t="s">
        <v>156</v>
      </c>
      <c r="I51" s="155" t="s">
        <v>159</v>
      </c>
      <c r="J51" s="155" t="s">
        <v>167</v>
      </c>
      <c r="K51" s="155" t="s">
        <v>168</v>
      </c>
      <c r="L51" s="242"/>
      <c r="M51" s="148"/>
      <c r="N51" s="149"/>
      <c r="O51" s="149"/>
    </row>
    <row r="52" spans="1:15" s="144" customFormat="1" ht="13.5">
      <c r="A52" s="144" t="str" cm="1">
        <f t="array" ref="A52:A54">_xlfn._xlws.SORT(_xlfn.UNIQUE(_xlfn._xlws.FILTER(Pipeline[Region], Pipeline[Region]&lt;&gt;"")))</f>
        <v>APAC</v>
      </c>
      <c r="B52" s="41" cm="1">
        <f t="array" ref="B52:B54">COUNTIFS(Pipeline[Region],_xlfn.ANCHORARRAY( A52), Pipeline[General Stage], "Closed")</f>
        <v>3</v>
      </c>
      <c r="C52" s="41" cm="1">
        <f t="array" ref="C52:C54">COUNTIFS(Pipeline[Region],_xlfn.ANCHORARRAY( A52), Pipeline[Stage], "Closed Won")</f>
        <v>2</v>
      </c>
      <c r="D52" s="156" cm="1">
        <f t="array" ref="D52:D54">_xlfn.ANCHORARRAY(C52)/_xlfn.ANCHORARRAY(B52)</f>
        <v>0.66666666666666663</v>
      </c>
      <c r="E52" s="157" cm="1">
        <f t="array" ref="E52:E54">AVERAGEIFS(
  Pipeline[Annual Recurring Revenue (ARR)],
  Pipeline[Region],_xlfn.ANCHORARRAY( A52),
  Pipeline[Stage], "Closed Won"
)</f>
        <v>59000</v>
      </c>
      <c r="F52" s="158" cm="1">
        <f t="array" ref="F52:F54">AVERAGEIFS(
  Pipeline[Sales Close Days],
  Pipeline[Region],_xlfn.ANCHORARRAY( A52),
  Pipeline[Stage], "Closed Won"
)</f>
        <v>55.5</v>
      </c>
      <c r="G52" s="157" cm="1">
        <f t="array" ref="G52:G54">SUMIFS(
  Pipeline[Annual Recurring Revenue (ARR)],
  Pipeline[Region],_xlfn.ANCHORARRAY( A52),
  Pipeline[General Stage], "Open"
)</f>
        <v>1143000</v>
      </c>
      <c r="H52" s="159" cm="1">
        <f t="array" ref="H52:H54">COUNTIFS(
  Pipeline[Region],_xlfn.ANCHORARRAY( A52),
  Pipeline[General Stage], "Open"
)</f>
        <v>8</v>
      </c>
      <c r="I52" s="157" cm="1">
        <f t="array" ref="I52:I54">AVERAGEIFS(
  Pipeline[Annual Recurring Revenue (ARR)],
  Pipeline[Region],_xlfn.ANCHORARRAY( A52),
  Pipeline[General Stage], "Open"
)</f>
        <v>142875</v>
      </c>
      <c r="J52" s="144" cm="1">
        <f t="array" ref="J52:J54">COUNTIFS(
  Pipeline[Region],_xlfn.ANCHORARRAY( A52),
  Pipeline[Overdue], "Overdue"
)</f>
        <v>2</v>
      </c>
      <c r="K52" s="157" cm="1">
        <f t="array" ref="K52:K54">SUMIFS(
  Pipeline[Annual Recurring Revenue (ARR)],
  Pipeline[Region],_xlfn.ANCHORARRAY( A52),
  Pipeline[Overdue], "Overdue"
)</f>
        <v>113000</v>
      </c>
      <c r="L52" s="242"/>
      <c r="M52" s="148"/>
      <c r="N52" s="149"/>
      <c r="O52" s="149"/>
    </row>
    <row r="53" spans="1:15" s="144" customFormat="1" ht="13.5">
      <c r="A53" s="144" t="str">
        <v>EMEA</v>
      </c>
      <c r="B53" s="160">
        <v>6</v>
      </c>
      <c r="C53" s="160">
        <v>2</v>
      </c>
      <c r="D53" s="156">
        <v>0.33333333333333331</v>
      </c>
      <c r="E53" s="157">
        <v>43500</v>
      </c>
      <c r="F53" s="158">
        <v>13.5</v>
      </c>
      <c r="G53" s="157">
        <v>970000</v>
      </c>
      <c r="H53" s="144">
        <v>9</v>
      </c>
      <c r="I53" s="157">
        <v>107777.77777777778</v>
      </c>
      <c r="J53" s="144">
        <v>8</v>
      </c>
      <c r="K53" s="157">
        <v>860000</v>
      </c>
      <c r="L53" s="242"/>
      <c r="M53" s="148"/>
      <c r="N53" s="149"/>
      <c r="O53" s="149"/>
    </row>
    <row r="54" spans="1:15" s="144" customFormat="1" ht="13.5">
      <c r="A54" s="144" t="str">
        <v>North America</v>
      </c>
      <c r="B54" s="160">
        <v>12</v>
      </c>
      <c r="C54" s="160">
        <v>10</v>
      </c>
      <c r="D54" s="156">
        <v>0.83333333333333337</v>
      </c>
      <c r="E54" s="157">
        <v>66600</v>
      </c>
      <c r="F54" s="158">
        <v>55</v>
      </c>
      <c r="G54" s="157">
        <v>1265000</v>
      </c>
      <c r="H54" s="144">
        <v>10</v>
      </c>
      <c r="I54" s="157">
        <v>126500</v>
      </c>
      <c r="J54" s="144">
        <v>1</v>
      </c>
      <c r="K54" s="157">
        <v>180000</v>
      </c>
      <c r="L54" s="242"/>
      <c r="M54" s="148"/>
      <c r="N54" s="149"/>
      <c r="O54" s="149"/>
    </row>
    <row r="55" spans="1:15" s="144" customFormat="1" ht="13.5">
      <c r="B55" s="195"/>
      <c r="C55" s="145"/>
      <c r="D55" s="145"/>
      <c r="H55" s="146"/>
      <c r="I55" s="146"/>
      <c r="K55" s="147"/>
      <c r="L55" s="242"/>
      <c r="M55" s="148"/>
      <c r="N55" s="149"/>
      <c r="O55" s="149"/>
    </row>
    <row r="56" spans="1:15" s="144" customFormat="1" ht="13.5">
      <c r="B56" s="145"/>
      <c r="C56" s="145"/>
      <c r="D56" s="145"/>
      <c r="H56" s="146"/>
      <c r="I56" s="146"/>
      <c r="J56" s="161">
        <f>SUM(J52:J55)</f>
        <v>11</v>
      </c>
      <c r="K56" s="162">
        <f>SUM(K52:K55)</f>
        <v>1153000</v>
      </c>
      <c r="L56" s="236" t="str">
        <f>IF(K56&lt;&gt;$F$22,"⚠ Rows with blank spaces cause inaccuracy in data","")</f>
        <v>⚠ Rows with blank spaces cause inaccuracy in data</v>
      </c>
      <c r="M56" s="148"/>
      <c r="N56" s="149"/>
      <c r="O56" s="149"/>
    </row>
    <row r="57" spans="1:15" ht="24.75">
      <c r="A57" s="18" t="s">
        <v>170</v>
      </c>
    </row>
    <row r="58" spans="1:15" s="144" customFormat="1" ht="13.5">
      <c r="A58" s="150"/>
      <c r="B58" s="267" t="s">
        <v>155</v>
      </c>
      <c r="C58" s="268"/>
      <c r="D58" s="268"/>
      <c r="E58" s="268"/>
      <c r="F58" s="269"/>
      <c r="G58" s="150"/>
      <c r="H58" s="150"/>
      <c r="I58" s="150"/>
      <c r="K58" s="147"/>
      <c r="L58" s="242"/>
      <c r="M58" s="148"/>
      <c r="N58" s="149"/>
      <c r="O58" s="149"/>
    </row>
    <row r="59" spans="1:15" s="144" customFormat="1" ht="40.5">
      <c r="A59" s="151" t="s">
        <v>175</v>
      </c>
      <c r="B59" s="152" t="s">
        <v>157</v>
      </c>
      <c r="C59" s="152" t="s">
        <v>158</v>
      </c>
      <c r="D59" s="153" t="s">
        <v>86</v>
      </c>
      <c r="E59" s="154" t="s">
        <v>152</v>
      </c>
      <c r="F59" s="154" t="s">
        <v>154</v>
      </c>
      <c r="G59" s="155" t="s">
        <v>153</v>
      </c>
      <c r="H59" s="155" t="s">
        <v>156</v>
      </c>
      <c r="I59" s="155" t="s">
        <v>159</v>
      </c>
      <c r="J59" s="155" t="s">
        <v>167</v>
      </c>
      <c r="K59" s="155" t="s">
        <v>168</v>
      </c>
      <c r="L59" s="242"/>
      <c r="M59" s="148"/>
      <c r="N59" s="149"/>
      <c r="O59" s="149"/>
    </row>
    <row r="60" spans="1:15" s="144" customFormat="1" ht="13.5">
      <c r="A60" s="144" t="str" cm="1">
        <f t="array" ref="A60:A62">_xlfn._xlws.SORT(_xlfn.UNIQUE(_xlfn._xlws.FILTER(Pipeline[Customer Segment], Pipeline[Region]&lt;&gt;"")))</f>
        <v>Enterprise</v>
      </c>
      <c r="B60" s="41" cm="1">
        <f t="array" ref="B60:B62">COUNTIFS(Pipeline[Customer Segment],_xlfn.ANCHORARRAY( A60), Pipeline[General Stage], "Closed")</f>
        <v>1</v>
      </c>
      <c r="C60" s="41" cm="1">
        <f t="array" ref="C60:C62">COUNTIFS(Pipeline[Customer Segment],_xlfn.ANCHORARRAY( A60), Pipeline[Stage], "Closed Won")</f>
        <v>1</v>
      </c>
      <c r="D60" s="156" cm="1">
        <f t="array" ref="D60:D62">_xlfn.ANCHORARRAY(C60)/_xlfn.ANCHORARRAY(B60)</f>
        <v>1</v>
      </c>
      <c r="E60" s="157" cm="1">
        <f t="array" ref="E60:E62">AVERAGEIFS(
  Pipeline[Annual Recurring Revenue (ARR)],
  Pipeline[Customer Segment],_xlfn.ANCHORARRAY( A60),
  Pipeline[Stage], "Closed Won"
)</f>
        <v>150000</v>
      </c>
      <c r="F60" s="158" cm="1">
        <f t="array" ref="F60:F62">AVERAGEIFS(
  Pipeline[Sales Close Days],
  Pipeline[Customer Segment],_xlfn.ANCHORARRAY( A60),
  Pipeline[Stage], "Closed Won"
)</f>
        <v>75</v>
      </c>
      <c r="G60" s="157" cm="1">
        <f t="array" ref="G60:G62">SUMIFS(
  Pipeline[Annual Recurring Revenue (ARR)],
  Pipeline[Customer Segment],_xlfn.ANCHORARRAY( A60),
  Pipeline[General Stage], "Open"
)</f>
        <v>2570000</v>
      </c>
      <c r="H60" s="159" cm="1">
        <f t="array" ref="H60:H62">COUNTIFS(
  Pipeline[Customer Segment],_xlfn.ANCHORARRAY( A60),
  Pipeline[General Stage], "Open"
)</f>
        <v>17</v>
      </c>
      <c r="I60" s="157" cm="1">
        <f t="array" ref="I60:I62">AVERAGEIFS(
  Pipeline[Annual Recurring Revenue (ARR)],
  Pipeline[Customer Segment],_xlfn.ANCHORARRAY( A60),
  Pipeline[General Stage], "Open"
)</f>
        <v>151176.4705882353</v>
      </c>
      <c r="J60" s="144" cm="1">
        <f t="array" ref="J60:J62">COUNTIFS(
  Pipeline[Customer Segment],_xlfn.ANCHORARRAY( A60),
  Pipeline[Overdue], "Overdue"
)</f>
        <v>4</v>
      </c>
      <c r="K60" s="157" cm="1">
        <f t="array" ref="K60:K62">SUMIFS(
  Pipeline[Annual Recurring Revenue (ARR)],
  Pipeline[Customer Segment],_xlfn.ANCHORARRAY( A60),
  Pipeline[Overdue], "Overdue"
)</f>
        <v>595000</v>
      </c>
      <c r="L60" s="242"/>
      <c r="M60" s="148"/>
      <c r="N60" s="149"/>
      <c r="O60" s="149"/>
    </row>
    <row r="61" spans="1:15" s="144" customFormat="1" ht="13.5">
      <c r="A61" s="144" t="str">
        <v>Mid-Market</v>
      </c>
      <c r="B61" s="160">
        <v>6</v>
      </c>
      <c r="C61" s="160">
        <v>4</v>
      </c>
      <c r="D61" s="156">
        <v>0.66666666666666663</v>
      </c>
      <c r="E61" s="157">
        <v>82750</v>
      </c>
      <c r="F61" s="158">
        <v>70.5</v>
      </c>
      <c r="G61" s="157">
        <v>775000</v>
      </c>
      <c r="H61" s="144">
        <v>9</v>
      </c>
      <c r="I61" s="157">
        <v>86111.111111111109</v>
      </c>
      <c r="J61" s="144">
        <v>6</v>
      </c>
      <c r="K61" s="157">
        <v>525000</v>
      </c>
      <c r="L61" s="242"/>
      <c r="M61" s="148"/>
      <c r="N61" s="149"/>
      <c r="O61" s="149"/>
    </row>
    <row r="62" spans="1:15" s="144" customFormat="1" ht="13.5">
      <c r="A62" s="144" t="str">
        <v>SMB</v>
      </c>
      <c r="B62" s="160">
        <v>14</v>
      </c>
      <c r="C62" s="160">
        <v>9</v>
      </c>
      <c r="D62" s="156">
        <v>0.6428571428571429</v>
      </c>
      <c r="E62" s="157">
        <v>43333.333333333336</v>
      </c>
      <c r="F62" s="158">
        <v>36.777777777777779</v>
      </c>
      <c r="G62" s="157">
        <v>33000</v>
      </c>
      <c r="H62" s="144">
        <v>1</v>
      </c>
      <c r="I62" s="157">
        <v>33000</v>
      </c>
      <c r="J62" s="144">
        <v>1</v>
      </c>
      <c r="K62" s="157">
        <v>33000</v>
      </c>
      <c r="L62" s="242"/>
      <c r="M62" s="148"/>
      <c r="N62" s="149"/>
      <c r="O62" s="149"/>
    </row>
    <row r="63" spans="1:15" s="208" customFormat="1" ht="13.5">
      <c r="A63" s="205"/>
      <c r="B63" s="206"/>
      <c r="C63" s="206"/>
      <c r="D63" s="207"/>
      <c r="E63" s="157"/>
      <c r="F63" s="158"/>
      <c r="G63" s="157"/>
      <c r="I63" s="157"/>
      <c r="K63" s="157"/>
      <c r="L63" s="248"/>
      <c r="M63" s="207"/>
      <c r="N63" s="209"/>
      <c r="O63" s="209"/>
    </row>
    <row r="64" spans="1:15" s="208" customFormat="1" ht="13.5">
      <c r="A64" s="205"/>
      <c r="B64" s="206"/>
      <c r="C64" s="206"/>
      <c r="D64" s="207"/>
      <c r="E64" s="157"/>
      <c r="F64" s="158"/>
      <c r="G64" s="157"/>
      <c r="I64" s="157"/>
      <c r="J64" s="161">
        <f>SUM(J60:J63)</f>
        <v>11</v>
      </c>
      <c r="K64" s="162">
        <f>SUM(K60:K63)</f>
        <v>1153000</v>
      </c>
      <c r="L64" s="236" t="str">
        <f>IF(K64&lt;&gt;$F$22,"⚠ Rows with blank spaces cause inaccuracy in data","")</f>
        <v>⚠ Rows with blank spaces cause inaccuracy in data</v>
      </c>
      <c r="M64" s="207"/>
      <c r="N64" s="209"/>
      <c r="O64" s="209"/>
    </row>
    <row r="65" spans="1:15" ht="24.75">
      <c r="A65" s="18" t="s">
        <v>173</v>
      </c>
    </row>
    <row r="66" spans="1:15" s="144" customFormat="1" ht="13.5">
      <c r="B66" s="145"/>
      <c r="C66" s="145"/>
      <c r="D66" s="145"/>
      <c r="H66" s="146"/>
      <c r="I66" s="146"/>
      <c r="K66" s="147"/>
      <c r="L66" s="242"/>
      <c r="M66" s="148"/>
      <c r="N66" s="149"/>
      <c r="O66" s="149"/>
    </row>
    <row r="67" spans="1:15" s="144" customFormat="1" ht="13.5">
      <c r="A67" s="150"/>
      <c r="B67" s="267" t="s">
        <v>155</v>
      </c>
      <c r="C67" s="268"/>
      <c r="D67" s="268"/>
      <c r="E67" s="268"/>
      <c r="F67" s="269"/>
      <c r="G67" s="150"/>
      <c r="H67" s="150"/>
      <c r="I67" s="150"/>
      <c r="K67" s="147"/>
      <c r="L67" s="242"/>
      <c r="M67" s="148"/>
      <c r="N67" s="149"/>
      <c r="O67" s="149"/>
    </row>
    <row r="68" spans="1:15" s="144" customFormat="1" ht="40.5">
      <c r="A68" s="151" t="s">
        <v>5</v>
      </c>
      <c r="B68" s="152" t="s">
        <v>157</v>
      </c>
      <c r="C68" s="152" t="s">
        <v>158</v>
      </c>
      <c r="D68" s="153" t="s">
        <v>86</v>
      </c>
      <c r="E68" s="154" t="s">
        <v>152</v>
      </c>
      <c r="F68" s="154" t="s">
        <v>154</v>
      </c>
      <c r="G68" s="155" t="s">
        <v>153</v>
      </c>
      <c r="H68" s="155" t="s">
        <v>156</v>
      </c>
      <c r="I68" s="155" t="s">
        <v>159</v>
      </c>
      <c r="J68" s="155" t="s">
        <v>167</v>
      </c>
      <c r="K68" s="155" t="s">
        <v>168</v>
      </c>
      <c r="L68" s="242"/>
      <c r="M68" s="148"/>
      <c r="N68" s="149"/>
      <c r="O68" s="149"/>
    </row>
    <row r="69" spans="1:15" s="144" customFormat="1" ht="13.5">
      <c r="A69" s="144" t="str" cm="1">
        <f t="array" ref="A69:A73">_xlfn._xlws.SORT(_xlfn.UNIQUE(_xlfn._xlws.FILTER(Pipeline[Lead Source], Pipeline[Region]&lt;&gt;"")))</f>
        <v>Inbound Marketing</v>
      </c>
      <c r="B69" s="41" cm="1">
        <f t="array" ref="B69:B73">COUNTIFS(Pipeline[Lead Source],_xlfn.ANCHORARRAY( A69), Pipeline[General Stage], "Closed")</f>
        <v>8</v>
      </c>
      <c r="C69" s="41" cm="1">
        <f t="array" ref="C69:C73">COUNTIFS(Pipeline[Lead Source],_xlfn.ANCHORARRAY( A69), Pipeline[Stage], "Closed Won")</f>
        <v>4</v>
      </c>
      <c r="D69" s="210" cm="1">
        <f t="array" ref="D69:D73">IFERROR(_xlfn.ANCHORARRAY(C69)/_xlfn.ANCHORARRAY(B69),0)</f>
        <v>0.5</v>
      </c>
      <c r="E69" s="211" cm="1">
        <f t="array" ref="E69:E73">IFERROR(AVERAGEIFS(
  Pipeline[Annual Recurring Revenue (ARR)],
  Pipeline[Lead Source],_xlfn.ANCHORARRAY( A69),
  Pipeline[Stage], "Closed Won"
),0)</f>
        <v>33250</v>
      </c>
      <c r="F69" s="41" cm="1">
        <f t="array" ref="F69:F73">IFERROR(AVERAGEIFS(
  Pipeline[Sales Close Days],
  Pipeline[Lead Source],_xlfn.ANCHORARRAY( A69),
  Pipeline[Stage], "Closed Won"
),0)</f>
        <v>45.75</v>
      </c>
      <c r="G69" s="212" cm="1">
        <f t="array" ref="G69:G73">SUMIFS(
  Pipeline[Annual Recurring Revenue (ARR)],
  Pipeline[Lead Source],_xlfn.ANCHORARRAY( A69),
  Pipeline[General Stage], "Open"
)</f>
        <v>118000</v>
      </c>
      <c r="H69" s="41" cm="1">
        <f t="array" ref="H69:H73">COUNTIFS(
  Pipeline[Lead Source],_xlfn.ANCHORARRAY( A69),
  Pipeline[General Stage], "Open"
)</f>
        <v>2</v>
      </c>
      <c r="I69" s="157" cm="1">
        <f t="array" ref="I69:I73">AVERAGEIFS(
  Pipeline[Annual Recurring Revenue (ARR)],
  Pipeline[Lead Source],_xlfn.ANCHORARRAY( A69),
  Pipeline[General Stage], "Open"
)</f>
        <v>59000</v>
      </c>
      <c r="J69" s="144" cm="1">
        <f t="array" ref="J69:J73">COUNTIFS(
  Pipeline[Lead Source],_xlfn.ANCHORARRAY( A69),
  Pipeline[Overdue], "Overdue"
)</f>
        <v>1</v>
      </c>
      <c r="K69" s="157" cm="1">
        <f t="array" ref="K69:K73">SUMIFS(
  Pipeline[Annual Recurring Revenue (ARR)],
  Pipeline[Lead Source],_xlfn.ANCHORARRAY( A69),
  Pipeline[Overdue], "Overdue"
)</f>
        <v>33000</v>
      </c>
      <c r="L69" s="242"/>
      <c r="M69" s="148"/>
      <c r="N69" s="149"/>
      <c r="O69" s="149"/>
    </row>
    <row r="70" spans="1:15" s="144" customFormat="1" ht="13.5">
      <c r="A70" s="144" t="str">
        <v>Outbound SDR</v>
      </c>
      <c r="B70" s="41">
        <v>3</v>
      </c>
      <c r="C70" s="41">
        <v>2</v>
      </c>
      <c r="D70" s="210">
        <v>0.66666666666666663</v>
      </c>
      <c r="E70" s="211">
        <v>84000</v>
      </c>
      <c r="F70" s="41">
        <v>73</v>
      </c>
      <c r="G70" s="212">
        <v>990000</v>
      </c>
      <c r="H70" s="41">
        <v>7</v>
      </c>
      <c r="I70" s="157">
        <v>141428.57142857142</v>
      </c>
      <c r="J70" s="144">
        <v>1</v>
      </c>
      <c r="K70" s="157">
        <v>200000</v>
      </c>
      <c r="L70" s="242"/>
      <c r="M70" s="148"/>
      <c r="N70" s="149"/>
      <c r="O70" s="149"/>
    </row>
    <row r="71" spans="1:15" s="144" customFormat="1" ht="13.5">
      <c r="A71" s="144" t="str">
        <v>Partner</v>
      </c>
      <c r="B71" s="41">
        <v>0</v>
      </c>
      <c r="C71" s="41">
        <v>0</v>
      </c>
      <c r="D71" s="210">
        <v>0</v>
      </c>
      <c r="E71" s="211">
        <v>0</v>
      </c>
      <c r="F71" s="41">
        <v>0</v>
      </c>
      <c r="G71" s="212">
        <v>1093000</v>
      </c>
      <c r="H71" s="41">
        <v>9</v>
      </c>
      <c r="I71" s="157">
        <v>121444.44444444444</v>
      </c>
      <c r="J71" s="144">
        <v>4</v>
      </c>
      <c r="K71" s="157">
        <v>393000</v>
      </c>
      <c r="L71" s="242"/>
      <c r="M71" s="148"/>
      <c r="N71" s="149"/>
      <c r="O71" s="149"/>
    </row>
    <row r="72" spans="1:15" s="144" customFormat="1" ht="13.5">
      <c r="A72" s="144" t="str">
        <v>Referral</v>
      </c>
      <c r="B72" s="41">
        <v>2</v>
      </c>
      <c r="C72" s="41">
        <v>2</v>
      </c>
      <c r="D72" s="210">
        <v>1</v>
      </c>
      <c r="E72" s="145">
        <v>81500</v>
      </c>
      <c r="F72" s="41">
        <v>68</v>
      </c>
      <c r="G72" s="190">
        <v>950000</v>
      </c>
      <c r="H72" s="41">
        <v>7</v>
      </c>
      <c r="I72" s="157">
        <v>135714.28571428571</v>
      </c>
      <c r="J72" s="144">
        <v>5</v>
      </c>
      <c r="K72" s="157">
        <v>620000</v>
      </c>
      <c r="L72" s="242"/>
      <c r="M72" s="148"/>
      <c r="N72" s="149"/>
      <c r="O72" s="149"/>
    </row>
    <row r="73" spans="1:15" s="144" customFormat="1" ht="13.5">
      <c r="A73" s="144" t="str">
        <v>Webinar</v>
      </c>
      <c r="B73" s="41">
        <v>8</v>
      </c>
      <c r="C73" s="41">
        <v>6</v>
      </c>
      <c r="D73" s="210">
        <v>0.75</v>
      </c>
      <c r="E73" s="145">
        <v>67833.333333333328</v>
      </c>
      <c r="F73" s="41">
        <v>37.166666666666664</v>
      </c>
      <c r="G73" s="190">
        <v>392000</v>
      </c>
      <c r="H73" s="41">
        <v>3</v>
      </c>
      <c r="I73" s="157">
        <v>130666.66666666667</v>
      </c>
      <c r="J73" s="144">
        <v>1</v>
      </c>
      <c r="K73" s="157">
        <v>72000</v>
      </c>
      <c r="L73" s="242"/>
      <c r="M73" s="148"/>
      <c r="N73" s="149"/>
      <c r="O73" s="149"/>
    </row>
    <row r="74" spans="1:15" s="144" customFormat="1" ht="13.5">
      <c r="B74" s="145"/>
      <c r="C74" s="145"/>
      <c r="D74" s="145"/>
      <c r="H74" s="146"/>
      <c r="I74" s="146"/>
      <c r="K74" s="147"/>
      <c r="L74" s="242"/>
      <c r="M74" s="148"/>
      <c r="N74" s="149"/>
      <c r="O74" s="149"/>
    </row>
    <row r="75" spans="1:15" s="144" customFormat="1" ht="13.5">
      <c r="B75" s="145"/>
      <c r="C75" s="145"/>
      <c r="D75" s="145"/>
      <c r="H75" s="146"/>
      <c r="I75" s="146"/>
      <c r="J75" s="161">
        <f>SUM(J69:J74)</f>
        <v>12</v>
      </c>
      <c r="K75" s="162">
        <f>SUM(K69:K74)</f>
        <v>1318000</v>
      </c>
      <c r="L75" s="236" t="str">
        <f>IF(K75&lt;&gt;$F$22,"⚠ Rows with blank spaces cause inaccuracy in data","")</f>
        <v/>
      </c>
      <c r="M75" s="148"/>
      <c r="N75" s="149"/>
      <c r="O75" s="149"/>
    </row>
    <row r="76" spans="1:15" s="144" customFormat="1" ht="13.5">
      <c r="B76" s="145"/>
      <c r="C76" s="145"/>
      <c r="D76" s="145"/>
      <c r="H76" s="146"/>
      <c r="I76" s="146"/>
      <c r="K76" s="147"/>
      <c r="L76" s="242"/>
      <c r="M76" s="148"/>
      <c r="N76" s="149"/>
      <c r="O76" s="149"/>
    </row>
  </sheetData>
  <sortState xmlns:xlrd2="http://schemas.microsoft.com/office/spreadsheetml/2017/richdata2" ref="E5:F17">
    <sortCondition descending="1" ref="F5:F17"/>
  </sortState>
  <mergeCells count="4">
    <mergeCell ref="B40:F40"/>
    <mergeCell ref="B50:F50"/>
    <mergeCell ref="B58:F58"/>
    <mergeCell ref="B67:F67"/>
  </mergeCell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iconSet" priority="2" id="{6F59DDAA-D04F-47FC-9560-8632A5388379}">
            <x14:iconSet showValue="0" custom="1">
              <x14:cfvo type="percent">
                <xm:f>0</xm:f>
              </x14:cfvo>
              <x14:cfvo type="num" gte="0">
                <xm:f>0</xm:f>
              </x14:cfvo>
              <x14:cfvo type="num" gte="0">
                <xm:f>0</xm:f>
              </x14:cfvo>
              <x14:cfIcon iconSet="3TrafficLights1" iconId="0"/>
              <x14:cfIcon iconSet="NoIcons" iconId="0"/>
              <x14:cfIcon iconSet="3TrafficLights1" iconId="2"/>
            </x14:iconSet>
          </x14:cfRule>
          <xm:sqref>C25</xm:sqref>
        </x14:conditionalFormatting>
        <x14:conditionalFormatting xmlns:xm="http://schemas.microsoft.com/office/excel/2006/main">
          <x14:cfRule type="iconSet" priority="1" id="{A30EF100-150B-4534-BCE8-FE2B7D68374F}">
            <x14:iconSet showValue="0" custom="1">
              <x14:cfvo type="percent">
                <xm:f>0</xm:f>
              </x14:cfvo>
              <x14:cfvo type="num" gte="0">
                <xm:f>0</xm:f>
              </x14:cfvo>
              <x14:cfvo type="num" gte="0">
                <xm:f>0</xm:f>
              </x14:cfvo>
              <x14:cfIcon iconSet="3TrafficLights1" iconId="0"/>
              <x14:cfIcon iconSet="NoIcons" iconId="0"/>
              <x14:cfIcon iconSet="3TrafficLights1" iconId="2"/>
            </x14:iconSet>
          </x14:cfRule>
          <xm:sqref>D29</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97CFA7-8C57-49B0-97EF-17DA6FE943C5}">
  <sheetPr>
    <tabColor rgb="FF4C7A71"/>
  </sheetPr>
  <dimension ref="A1:N18"/>
  <sheetViews>
    <sheetView showGridLines="0" zoomScaleNormal="100" workbookViewId="0">
      <pane ySplit="1" topLeftCell="A2" activePane="bottomLeft" state="frozen"/>
      <selection pane="bottomLeft" activeCell="O17" sqref="O17"/>
    </sheetView>
  </sheetViews>
  <sheetFormatPr defaultRowHeight="13.5"/>
  <cols>
    <col min="1" max="1" width="22.140625" bestFit="1" customWidth="1"/>
    <col min="2" max="2" width="15.7109375" bestFit="1" customWidth="1"/>
    <col min="3" max="3" width="6.28515625" bestFit="1" customWidth="1"/>
    <col min="4" max="4" width="5.7109375" customWidth="1"/>
  </cols>
  <sheetData>
    <row r="1" spans="1:14" s="35" customFormat="1" ht="24.75">
      <c r="A1" s="77" t="s">
        <v>122</v>
      </c>
      <c r="E1" s="271" t="s">
        <v>126</v>
      </c>
      <c r="F1" s="271"/>
      <c r="G1" s="271"/>
      <c r="H1" s="271"/>
      <c r="I1" s="271"/>
      <c r="J1" s="271"/>
      <c r="K1" s="271"/>
      <c r="L1" s="271"/>
      <c r="M1" s="271"/>
      <c r="N1" s="271"/>
    </row>
    <row r="3" spans="1:14">
      <c r="A3" s="16" t="s">
        <v>119</v>
      </c>
      <c r="E3" s="270" t="s">
        <v>223</v>
      </c>
      <c r="F3" s="270"/>
      <c r="G3" s="270"/>
      <c r="H3" s="270"/>
      <c r="I3" s="270"/>
      <c r="J3" s="270"/>
      <c r="K3" s="270"/>
      <c r="L3" s="270"/>
      <c r="M3" s="270"/>
      <c r="N3" s="270"/>
    </row>
    <row r="4" spans="1:14">
      <c r="A4" s="17" t="s">
        <v>123</v>
      </c>
      <c r="B4" s="112">
        <v>2025</v>
      </c>
      <c r="E4" s="270"/>
      <c r="F4" s="270"/>
      <c r="G4" s="270"/>
      <c r="H4" s="270"/>
      <c r="I4" s="270"/>
      <c r="J4" s="270"/>
      <c r="K4" s="270"/>
      <c r="L4" s="270"/>
      <c r="M4" s="270"/>
      <c r="N4" s="270"/>
    </row>
    <row r="5" spans="1:14">
      <c r="A5" s="17" t="s">
        <v>124</v>
      </c>
      <c r="B5" s="112" t="s">
        <v>120</v>
      </c>
      <c r="E5" s="270"/>
      <c r="F5" s="270"/>
      <c r="G5" s="270"/>
      <c r="H5" s="270"/>
      <c r="I5" s="270"/>
      <c r="J5" s="270"/>
      <c r="K5" s="270"/>
      <c r="L5" s="270"/>
      <c r="M5" s="270"/>
      <c r="N5" s="270"/>
    </row>
    <row r="6" spans="1:14">
      <c r="E6" s="270"/>
      <c r="F6" s="270"/>
      <c r="G6" s="270"/>
      <c r="H6" s="270"/>
      <c r="I6" s="270"/>
      <c r="J6" s="270"/>
      <c r="K6" s="270"/>
      <c r="L6" s="270"/>
      <c r="M6" s="270"/>
      <c r="N6" s="270"/>
    </row>
    <row r="7" spans="1:14">
      <c r="A7" s="16" t="s">
        <v>91</v>
      </c>
      <c r="B7" s="134">
        <v>1215000</v>
      </c>
      <c r="E7" s="270"/>
      <c r="F7" s="270"/>
      <c r="G7" s="270"/>
      <c r="H7" s="270"/>
      <c r="I7" s="270"/>
      <c r="J7" s="270"/>
      <c r="K7" s="270"/>
      <c r="L7" s="270"/>
      <c r="M7" s="270"/>
      <c r="N7" s="270"/>
    </row>
    <row r="8" spans="1:14">
      <c r="E8" s="270"/>
      <c r="F8" s="270"/>
      <c r="G8" s="270"/>
      <c r="H8" s="270"/>
      <c r="I8" s="270"/>
      <c r="J8" s="270"/>
      <c r="K8" s="270"/>
      <c r="L8" s="270"/>
      <c r="M8" s="270"/>
      <c r="N8" s="270"/>
    </row>
    <row r="9" spans="1:14">
      <c r="A9" s="16" t="s">
        <v>121</v>
      </c>
      <c r="E9" s="270"/>
      <c r="F9" s="270"/>
      <c r="G9" s="270"/>
      <c r="H9" s="270"/>
      <c r="I9" s="270"/>
      <c r="J9" s="270"/>
      <c r="K9" s="270"/>
      <c r="L9" s="270"/>
      <c r="M9" s="270"/>
      <c r="N9" s="270"/>
    </row>
    <row r="10" spans="1:14">
      <c r="A10" s="92" t="s">
        <v>104</v>
      </c>
      <c r="B10" s="14">
        <v>0.35</v>
      </c>
      <c r="C10" s="135">
        <f>$B$7*B10</f>
        <v>425250</v>
      </c>
      <c r="E10" s="270"/>
      <c r="F10" s="270"/>
      <c r="G10" s="270"/>
      <c r="H10" s="270"/>
      <c r="I10" s="270"/>
      <c r="J10" s="270"/>
      <c r="K10" s="270"/>
      <c r="L10" s="270"/>
      <c r="M10" s="270"/>
      <c r="N10" s="270"/>
    </row>
    <row r="11" spans="1:14">
      <c r="A11" s="92" t="s">
        <v>105</v>
      </c>
      <c r="B11" s="14">
        <v>0.4</v>
      </c>
      <c r="C11" s="135">
        <f>$B$7*B11</f>
        <v>486000</v>
      </c>
      <c r="E11" s="270"/>
      <c r="F11" s="270"/>
      <c r="G11" s="270"/>
      <c r="H11" s="270"/>
      <c r="I11" s="270"/>
      <c r="J11" s="270"/>
      <c r="K11" s="270"/>
      <c r="L11" s="270"/>
      <c r="M11" s="270"/>
      <c r="N11" s="270"/>
    </row>
    <row r="12" spans="1:14">
      <c r="A12" s="92" t="s">
        <v>106</v>
      </c>
      <c r="B12" s="14">
        <v>0.25</v>
      </c>
      <c r="C12" s="135">
        <f>$B$7*B12</f>
        <v>303750</v>
      </c>
      <c r="E12" s="270"/>
      <c r="F12" s="270"/>
      <c r="G12" s="270"/>
      <c r="H12" s="270"/>
      <c r="I12" s="270"/>
      <c r="J12" s="270"/>
      <c r="K12" s="270"/>
      <c r="L12" s="270"/>
      <c r="M12" s="270"/>
      <c r="N12" s="270"/>
    </row>
    <row r="14" spans="1:14">
      <c r="A14" s="16" t="s">
        <v>86</v>
      </c>
      <c r="B14" s="136">
        <v>0.65</v>
      </c>
    </row>
    <row r="16" spans="1:14">
      <c r="A16" s="16" t="s">
        <v>145</v>
      </c>
      <c r="B16" s="137">
        <v>60</v>
      </c>
    </row>
    <row r="18" s="56" customFormat="1" ht="15"/>
  </sheetData>
  <mergeCells count="2">
    <mergeCell ref="E3:N12"/>
    <mergeCell ref="E1:N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229496-94C6-46EF-A537-05EDF7079B42}">
  <sheetPr>
    <tabColor theme="0"/>
  </sheetPr>
  <dimension ref="A1:S62"/>
  <sheetViews>
    <sheetView zoomScaleNormal="100" workbookViewId="0">
      <pane ySplit="1" topLeftCell="A2" activePane="bottomLeft" state="frozen"/>
      <selection pane="bottomLeft" activeCell="A10" sqref="A10"/>
    </sheetView>
  </sheetViews>
  <sheetFormatPr defaultRowHeight="13.5"/>
  <cols>
    <col min="1" max="1" width="19" bestFit="1" customWidth="1"/>
    <col min="2" max="2" width="29.7109375" customWidth="1"/>
    <col min="3" max="3" width="23.140625" customWidth="1"/>
    <col min="4" max="4" width="11.7109375" customWidth="1"/>
    <col min="5" max="5" width="12" customWidth="1"/>
    <col min="6" max="6" width="15.7109375" customWidth="1"/>
    <col min="7" max="7" width="16.28515625" bestFit="1" customWidth="1"/>
    <col min="8" max="8" width="11.7109375" customWidth="1"/>
    <col min="9" max="9" width="13.28515625" customWidth="1"/>
    <col min="10" max="10" width="12.28515625" customWidth="1"/>
    <col min="11" max="11" width="18.7109375" customWidth="1"/>
    <col min="12" max="12" width="14.28515625" customWidth="1"/>
    <col min="13" max="13" width="16.85546875" customWidth="1"/>
    <col min="14" max="14" width="24.7109375" customWidth="1"/>
    <col min="15" max="15" width="24.28515625" customWidth="1"/>
    <col min="16" max="16" width="31.7109375" customWidth="1"/>
    <col min="17" max="17" width="33.140625" style="7" bestFit="1" customWidth="1"/>
    <col min="18" max="18" width="22.5703125" style="7" customWidth="1"/>
    <col min="19" max="19" width="26.5703125" bestFit="1" customWidth="1"/>
  </cols>
  <sheetData>
    <row r="1" spans="1:19" s="10" customFormat="1">
      <c r="A1" s="10" t="s">
        <v>0</v>
      </c>
      <c r="B1" s="9" t="s">
        <v>1</v>
      </c>
      <c r="C1" s="10" t="s">
        <v>2</v>
      </c>
      <c r="D1" s="10" t="s">
        <v>3</v>
      </c>
      <c r="E1" s="10" t="s">
        <v>4</v>
      </c>
      <c r="F1" s="10" t="s">
        <v>5</v>
      </c>
      <c r="G1" s="10" t="s">
        <v>6</v>
      </c>
      <c r="H1" s="10" t="s">
        <v>7</v>
      </c>
      <c r="I1" s="10" t="s">
        <v>8</v>
      </c>
      <c r="J1" s="10" t="s">
        <v>9</v>
      </c>
      <c r="K1" s="10" t="s">
        <v>10</v>
      </c>
      <c r="L1" s="31" t="s">
        <v>83</v>
      </c>
      <c r="M1" s="31" t="s">
        <v>84</v>
      </c>
      <c r="N1" s="31" t="s">
        <v>87</v>
      </c>
      <c r="O1" s="32" t="s">
        <v>85</v>
      </c>
      <c r="P1" s="32" t="s">
        <v>188</v>
      </c>
      <c r="Q1" s="33" t="s">
        <v>97</v>
      </c>
      <c r="R1" s="33" t="s">
        <v>88</v>
      </c>
      <c r="S1" s="33" t="s">
        <v>187</v>
      </c>
    </row>
    <row r="2" spans="1:19">
      <c r="A2" t="s">
        <v>36</v>
      </c>
      <c r="B2" s="1">
        <v>60000</v>
      </c>
      <c r="C2" s="2">
        <v>45762</v>
      </c>
      <c r="D2" s="2">
        <v>45805</v>
      </c>
      <c r="E2" t="s">
        <v>24</v>
      </c>
      <c r="F2" t="s">
        <v>13</v>
      </c>
      <c r="G2" t="s">
        <v>14</v>
      </c>
      <c r="H2" s="3">
        <v>1</v>
      </c>
      <c r="I2" t="s">
        <v>15</v>
      </c>
      <c r="J2" t="s">
        <v>16</v>
      </c>
      <c r="K2" t="s">
        <v>32</v>
      </c>
      <c r="L2" t="str">
        <f t="shared" ref="L2:L33" si="0">IF(OR(G2="Closed Won", G2="Closed Lost"), "Closed", "Open")</f>
        <v>Closed</v>
      </c>
      <c r="M2">
        <f t="shared" ref="M2:M3" si="1">_xlfn.DAYS(D2,C2)</f>
        <v>43</v>
      </c>
      <c r="N2" s="1">
        <f t="shared" ref="N2:N33" si="2">IF(L2="Open",B2*H2,0)</f>
        <v>0</v>
      </c>
      <c r="O2" s="7">
        <f t="shared" ref="O2:O3" si="3">EOMONTH(D2,0)+1</f>
        <v>45809</v>
      </c>
      <c r="P2" s="7" t="str">
        <f>IF(Pipeline[[#This Row],[General Stage]]="Closed",
   "Closed",
  IF(O2&lt;'Forecast Sep-Nov 2025'!$J$6,"Overdue","Current")
)</f>
        <v>Closed</v>
      </c>
      <c r="Q2" s="7">
        <f>IF(L2="Closed",
  EDATE(D2,1),
  IF(
  G2="Negotiation/Review",
  'Forecast Sep-Nov 2025'!$J$6,
  IF(
    G2="Value Proposition",
    EDATE('Forecast Sep-Nov 2025'!$J$6,1),
    EDATE('Forecast Sep-Nov 2025'!$J$6,2)))
)</f>
        <v>45836</v>
      </c>
      <c r="R2" s="7">
        <f t="shared" ref="R2:R3" si="4">IF(P2="Overdue",Q2,O2)</f>
        <v>45809</v>
      </c>
      <c r="S2">
        <f>_xlfn.DAYS('Forecast Sep-Nov 2025'!$J$6,Pipeline[[#This Row],[Opportunity Create Date]])</f>
        <v>139</v>
      </c>
    </row>
    <row r="3" spans="1:19">
      <c r="A3" t="s">
        <v>28</v>
      </c>
      <c r="B3" s="1">
        <v>45000</v>
      </c>
      <c r="C3" s="2">
        <v>45757</v>
      </c>
      <c r="D3" s="2">
        <v>45809</v>
      </c>
      <c r="E3" t="s">
        <v>12</v>
      </c>
      <c r="F3" t="s">
        <v>29</v>
      </c>
      <c r="G3" t="s">
        <v>30</v>
      </c>
      <c r="H3" s="3">
        <v>0</v>
      </c>
      <c r="I3" t="s">
        <v>21</v>
      </c>
      <c r="J3" t="s">
        <v>31</v>
      </c>
      <c r="K3" t="s">
        <v>32</v>
      </c>
      <c r="L3" t="str">
        <f t="shared" si="0"/>
        <v>Closed</v>
      </c>
      <c r="M3">
        <f t="shared" si="1"/>
        <v>52</v>
      </c>
      <c r="N3" s="1">
        <f t="shared" si="2"/>
        <v>0</v>
      </c>
      <c r="O3" s="7">
        <f t="shared" si="3"/>
        <v>45839</v>
      </c>
      <c r="P3" s="7" t="str">
        <f>IF(Pipeline[[#This Row],[General Stage]]="Closed",
   "Closed",
  IF(O3&lt;'Forecast Sep-Nov 2025'!$J$6,"Overdue","Current")
)</f>
        <v>Closed</v>
      </c>
      <c r="Q3" s="7">
        <f>IF(L3="Closed",
  EDATE(D3,1),
  IF(
  G3="Negotiation/Review",
  'Forecast Sep-Nov 2025'!$J$6,
  IF(
    G3="Value Proposition",
    EDATE('Forecast Sep-Nov 2025'!$J$6,1),
    EDATE('Forecast Sep-Nov 2025'!$J$6,2)))
)</f>
        <v>45839</v>
      </c>
      <c r="R3" s="7">
        <f t="shared" si="4"/>
        <v>45839</v>
      </c>
      <c r="S3">
        <f>_xlfn.DAYS('Forecast Sep-Nov 2025'!$J$6,Pipeline[[#This Row],[Opportunity Create Date]])</f>
        <v>144</v>
      </c>
    </row>
    <row r="4" spans="1:19">
      <c r="A4" t="s">
        <v>82</v>
      </c>
      <c r="B4" s="1">
        <v>165000</v>
      </c>
      <c r="C4" s="2">
        <v>45887</v>
      </c>
      <c r="D4" s="2">
        <v>45803</v>
      </c>
      <c r="E4" t="s">
        <v>12</v>
      </c>
      <c r="F4" t="s">
        <v>20</v>
      </c>
      <c r="G4" t="s">
        <v>41</v>
      </c>
      <c r="H4" s="3">
        <v>0.4</v>
      </c>
      <c r="I4" t="s">
        <v>15</v>
      </c>
      <c r="L4" t="str">
        <f t="shared" si="0"/>
        <v>Open</v>
      </c>
      <c r="M4">
        <f t="shared" ref="M4:M50" si="5">_xlfn.DAYS(D4,C4)</f>
        <v>-84</v>
      </c>
      <c r="N4" s="1">
        <f t="shared" si="2"/>
        <v>66000</v>
      </c>
      <c r="O4" s="7">
        <f t="shared" ref="O4:O50" si="6">EOMONTH(D4,0)+1</f>
        <v>45809</v>
      </c>
      <c r="P4" s="7" t="str">
        <f>IF(Pipeline[[#This Row],[General Stage]]="Closed",
   "Closed",
  IF(O4&lt;'Forecast Sep-Nov 2025'!$J$6,"Overdue","Current")
)</f>
        <v>Overdue</v>
      </c>
      <c r="Q4" s="7">
        <f>IF(L4="Closed",
  EDATE(D4,1),
  IF(
  G4="Negotiation/Review",
  'Forecast Sep-Nov 2025'!$J$6,
  IF(
    G4="Value Proposition",
    EDATE('Forecast Sep-Nov 2025'!$J$6,1),
    EDATE('Forecast Sep-Nov 2025'!$J$6,2)))
)</f>
        <v>45962</v>
      </c>
      <c r="R4" s="7">
        <f>IF(P4="Overdue",Q4,O4)</f>
        <v>45962</v>
      </c>
      <c r="S4">
        <f>_xlfn.DAYS('Forecast Sep-Nov 2025'!$J$6,Pipeline[[#This Row],[Opportunity Create Date]])</f>
        <v>14</v>
      </c>
    </row>
    <row r="5" spans="1:19">
      <c r="A5" t="s">
        <v>67</v>
      </c>
      <c r="B5" s="1">
        <v>42000</v>
      </c>
      <c r="C5" s="2">
        <v>45758</v>
      </c>
      <c r="D5" s="2">
        <v>45811</v>
      </c>
      <c r="E5" t="s">
        <v>12</v>
      </c>
      <c r="F5" t="s">
        <v>13</v>
      </c>
      <c r="G5" t="s">
        <v>14</v>
      </c>
      <c r="H5" s="3">
        <v>1</v>
      </c>
      <c r="I5" t="s">
        <v>21</v>
      </c>
      <c r="J5" t="s">
        <v>16</v>
      </c>
      <c r="K5" t="s">
        <v>32</v>
      </c>
      <c r="L5" t="str">
        <f t="shared" si="0"/>
        <v>Closed</v>
      </c>
      <c r="M5">
        <f t="shared" si="5"/>
        <v>53</v>
      </c>
      <c r="N5" s="1">
        <f t="shared" si="2"/>
        <v>0</v>
      </c>
      <c r="O5" s="7">
        <f t="shared" si="6"/>
        <v>45839</v>
      </c>
      <c r="P5" s="7" t="str">
        <f>IF(Pipeline[[#This Row],[General Stage]]="Closed",
   "Closed",
  IF(O5&lt;'Forecast Sep-Nov 2025'!$J$6,"Overdue","Current")
)</f>
        <v>Closed</v>
      </c>
      <c r="Q5" s="7">
        <f>IF(L5="Closed",
  EDATE(D5,1),
  IF(
  G5="Negotiation/Review",
  'Forecast Sep-Nov 2025'!$J$6,
  IF(
    G5="Value Proposition",
    EDATE('Forecast Sep-Nov 2025'!$J$6,1),
    EDATE('Forecast Sep-Nov 2025'!$J$6,2)))
)</f>
        <v>45841</v>
      </c>
      <c r="R5" s="7">
        <f t="shared" ref="R5:R50" si="7">IF(P5="Overdue",Q5,O5)</f>
        <v>45839</v>
      </c>
      <c r="S5">
        <f>_xlfn.DAYS('Forecast Sep-Nov 2025'!$J$6,Pipeline[[#This Row],[Opportunity Create Date]])</f>
        <v>143</v>
      </c>
    </row>
    <row r="6" spans="1:19">
      <c r="A6" t="s">
        <v>40</v>
      </c>
      <c r="B6" s="1">
        <v>180000</v>
      </c>
      <c r="C6" s="2">
        <v>45839</v>
      </c>
      <c r="D6" s="2">
        <v>45769</v>
      </c>
      <c r="E6" t="s">
        <v>24</v>
      </c>
      <c r="F6" t="s">
        <v>20</v>
      </c>
      <c r="G6" t="s">
        <v>41</v>
      </c>
      <c r="H6" s="3">
        <v>0.4</v>
      </c>
      <c r="I6" t="s">
        <v>15</v>
      </c>
      <c r="J6" t="s">
        <v>16</v>
      </c>
      <c r="K6" t="s">
        <v>17</v>
      </c>
      <c r="L6" t="str">
        <f t="shared" si="0"/>
        <v>Open</v>
      </c>
      <c r="M6">
        <f t="shared" si="5"/>
        <v>-70</v>
      </c>
      <c r="N6" s="1">
        <f t="shared" si="2"/>
        <v>72000</v>
      </c>
      <c r="O6" s="7">
        <f t="shared" si="6"/>
        <v>45778</v>
      </c>
      <c r="P6" s="7" t="str">
        <f>IF(Pipeline[[#This Row],[General Stage]]="Closed",
   "Closed",
  IF(O6&lt;'Forecast Sep-Nov 2025'!$J$6,"Overdue","Current")
)</f>
        <v>Overdue</v>
      </c>
      <c r="Q6" s="7">
        <f>IF(L6="Closed",
  EDATE(D6,1),
  IF(
  G6="Negotiation/Review",
  'Forecast Sep-Nov 2025'!$J$6,
  IF(
    G6="Value Proposition",
    EDATE('Forecast Sep-Nov 2025'!$J$6,1),
    EDATE('Forecast Sep-Nov 2025'!$J$6,2)))
)</f>
        <v>45962</v>
      </c>
      <c r="R6" s="7">
        <f t="shared" si="7"/>
        <v>45962</v>
      </c>
      <c r="S6">
        <f>_xlfn.DAYS('Forecast Sep-Nov 2025'!$J$6,Pipeline[[#This Row],[Opportunity Create Date]])</f>
        <v>62</v>
      </c>
    </row>
    <row r="7" spans="1:19">
      <c r="A7" t="s">
        <v>42</v>
      </c>
      <c r="B7" s="1">
        <v>55000</v>
      </c>
      <c r="C7" s="2">
        <v>45772</v>
      </c>
      <c r="D7" s="2">
        <v>45813</v>
      </c>
      <c r="E7" t="s">
        <v>12</v>
      </c>
      <c r="F7" t="s">
        <v>13</v>
      </c>
      <c r="G7" t="s">
        <v>30</v>
      </c>
      <c r="H7" s="3">
        <v>0</v>
      </c>
      <c r="I7" t="s">
        <v>15</v>
      </c>
      <c r="J7" t="s">
        <v>27</v>
      </c>
      <c r="K7" t="s">
        <v>22</v>
      </c>
      <c r="L7" t="str">
        <f t="shared" si="0"/>
        <v>Closed</v>
      </c>
      <c r="M7">
        <f t="shared" si="5"/>
        <v>41</v>
      </c>
      <c r="N7" s="1">
        <f t="shared" si="2"/>
        <v>0</v>
      </c>
      <c r="O7" s="7">
        <f t="shared" si="6"/>
        <v>45839</v>
      </c>
      <c r="P7" s="7" t="str">
        <f>IF(Pipeline[[#This Row],[General Stage]]="Closed",
   "Closed",
  IF(O7&lt;'Forecast Sep-Nov 2025'!$J$6,"Overdue","Current")
)</f>
        <v>Closed</v>
      </c>
      <c r="Q7" s="7">
        <f>IF(L7="Closed",
  EDATE(D7,1),
  IF(
  G7="Negotiation/Review",
  'Forecast Sep-Nov 2025'!$J$6,
  IF(
    G7="Value Proposition",
    EDATE('Forecast Sep-Nov 2025'!$J$6,1),
    EDATE('Forecast Sep-Nov 2025'!$J$6,2)))
)</f>
        <v>45843</v>
      </c>
      <c r="R7" s="7">
        <f t="shared" si="7"/>
        <v>45839</v>
      </c>
      <c r="S7">
        <f>_xlfn.DAYS('Forecast Sep-Nov 2025'!$J$6,Pipeline[[#This Row],[Opportunity Create Date]])</f>
        <v>129</v>
      </c>
    </row>
    <row r="8" spans="1:19">
      <c r="A8" t="s">
        <v>58</v>
      </c>
      <c r="B8" s="1">
        <v>70000</v>
      </c>
      <c r="C8" s="2">
        <v>45820</v>
      </c>
      <c r="D8" s="2">
        <v>45856</v>
      </c>
      <c r="E8" t="s">
        <v>12</v>
      </c>
      <c r="F8" t="s">
        <v>20</v>
      </c>
      <c r="G8" t="s">
        <v>35</v>
      </c>
      <c r="H8" s="3">
        <v>0.6</v>
      </c>
      <c r="I8" t="s">
        <v>15</v>
      </c>
      <c r="J8" t="s">
        <v>27</v>
      </c>
      <c r="K8" t="s">
        <v>22</v>
      </c>
      <c r="L8" t="str">
        <f t="shared" si="0"/>
        <v>Open</v>
      </c>
      <c r="M8">
        <f t="shared" si="5"/>
        <v>36</v>
      </c>
      <c r="N8" s="1">
        <f t="shared" si="2"/>
        <v>42000</v>
      </c>
      <c r="O8" s="7">
        <f t="shared" si="6"/>
        <v>45870</v>
      </c>
      <c r="P8" s="7" t="str">
        <f>IF(Pipeline[[#This Row],[General Stage]]="Closed",
   "Closed",
  IF(O8&lt;'Forecast Sep-Nov 2025'!$J$6,"Overdue","Current")
)</f>
        <v>Overdue</v>
      </c>
      <c r="Q8" s="7">
        <f>IF(L8="Closed",
  EDATE(D8,1),
  IF(
  G8="Negotiation/Review",
  'Forecast Sep-Nov 2025'!$J$6,
  IF(
    G8="Value Proposition",
    EDATE('Forecast Sep-Nov 2025'!$J$6,1),
    EDATE('Forecast Sep-Nov 2025'!$J$6,2)))
)</f>
        <v>45931</v>
      </c>
      <c r="R8" s="7">
        <f t="shared" si="7"/>
        <v>45931</v>
      </c>
      <c r="S8">
        <f>_xlfn.DAYS('Forecast Sep-Nov 2025'!$J$6,Pipeline[[#This Row],[Opportunity Create Date]])</f>
        <v>81</v>
      </c>
    </row>
    <row r="9" spans="1:19">
      <c r="A9" t="s">
        <v>72</v>
      </c>
      <c r="B9" s="1">
        <v>58000</v>
      </c>
      <c r="C9" s="2">
        <v>45771</v>
      </c>
      <c r="D9" s="2">
        <v>45816</v>
      </c>
      <c r="E9" t="s">
        <v>24</v>
      </c>
      <c r="F9" t="s">
        <v>13</v>
      </c>
      <c r="G9" t="s">
        <v>30</v>
      </c>
      <c r="H9" s="3">
        <v>0</v>
      </c>
      <c r="I9" t="s">
        <v>15</v>
      </c>
      <c r="J9" t="s">
        <v>27</v>
      </c>
      <c r="K9" t="s">
        <v>22</v>
      </c>
      <c r="L9" t="str">
        <f t="shared" si="0"/>
        <v>Closed</v>
      </c>
      <c r="M9">
        <f t="shared" si="5"/>
        <v>45</v>
      </c>
      <c r="N9" s="1">
        <f t="shared" si="2"/>
        <v>0</v>
      </c>
      <c r="O9" s="7">
        <f t="shared" si="6"/>
        <v>45839</v>
      </c>
      <c r="P9" s="7" t="str">
        <f>IF(Pipeline[[#This Row],[General Stage]]="Closed",
   "Closed",
  IF(O9&lt;'Forecast Sep-Nov 2025'!$J$6,"Overdue","Current")
)</f>
        <v>Closed</v>
      </c>
      <c r="Q9" s="7">
        <f>IF(L9="Closed",
  EDATE(D9,1),
  IF(
  G9="Negotiation/Review",
  'Forecast Sep-Nov 2025'!$J$6,
  IF(
    G9="Value Proposition",
    EDATE('Forecast Sep-Nov 2025'!$J$6,1),
    EDATE('Forecast Sep-Nov 2025'!$J$6,2)))
)</f>
        <v>45846</v>
      </c>
      <c r="R9" s="7">
        <f t="shared" si="7"/>
        <v>45839</v>
      </c>
      <c r="S9">
        <f>_xlfn.DAYS('Forecast Sep-Nov 2025'!$J$6,Pipeline[[#This Row],[Opportunity Create Date]])</f>
        <v>130</v>
      </c>
    </row>
    <row r="10" spans="1:19">
      <c r="A10" t="s">
        <v>51</v>
      </c>
      <c r="B10" s="1">
        <v>95000</v>
      </c>
      <c r="C10" s="2">
        <v>45797</v>
      </c>
      <c r="D10" s="2">
        <v>45843</v>
      </c>
      <c r="E10" t="s">
        <v>24</v>
      </c>
      <c r="F10" t="s">
        <v>34</v>
      </c>
      <c r="G10" t="s">
        <v>35</v>
      </c>
      <c r="H10" s="3">
        <v>0.6</v>
      </c>
      <c r="I10" t="s">
        <v>15</v>
      </c>
      <c r="J10" t="s">
        <v>27</v>
      </c>
      <c r="K10" t="s">
        <v>22</v>
      </c>
      <c r="L10" t="str">
        <f t="shared" si="0"/>
        <v>Open</v>
      </c>
      <c r="M10">
        <f t="shared" si="5"/>
        <v>46</v>
      </c>
      <c r="N10" s="1">
        <f t="shared" si="2"/>
        <v>57000</v>
      </c>
      <c r="O10" s="7">
        <f t="shared" si="6"/>
        <v>45870</v>
      </c>
      <c r="P10" s="7" t="str">
        <f>IF(Pipeline[[#This Row],[General Stage]]="Closed",
   "Closed",
  IF(O10&lt;'Forecast Sep-Nov 2025'!$J$6,"Overdue","Current")
)</f>
        <v>Overdue</v>
      </c>
      <c r="Q10" s="7">
        <f>IF(L10="Closed",
  EDATE(D10,1),
  IF(
  G10="Negotiation/Review",
  'Forecast Sep-Nov 2025'!$J$6,
  IF(
    G10="Value Proposition",
    EDATE('Forecast Sep-Nov 2025'!$J$6,1),
    EDATE('Forecast Sep-Nov 2025'!$J$6,2)))
)</f>
        <v>45931</v>
      </c>
      <c r="R10" s="7">
        <f t="shared" si="7"/>
        <v>45931</v>
      </c>
      <c r="S10">
        <f>_xlfn.DAYS('Forecast Sep-Nov 2025'!$J$6,Pipeline[[#This Row],[Opportunity Create Date]])</f>
        <v>104</v>
      </c>
    </row>
    <row r="11" spans="1:19">
      <c r="A11" t="s">
        <v>39</v>
      </c>
      <c r="B11" s="1">
        <v>30000</v>
      </c>
      <c r="C11" s="2">
        <v>45767</v>
      </c>
      <c r="D11" s="2">
        <v>45818</v>
      </c>
      <c r="E11" t="s">
        <v>19</v>
      </c>
      <c r="F11" t="s">
        <v>29</v>
      </c>
      <c r="G11" t="s">
        <v>14</v>
      </c>
      <c r="H11" s="3">
        <v>1</v>
      </c>
      <c r="I11" t="s">
        <v>21</v>
      </c>
      <c r="J11" t="s">
        <v>31</v>
      </c>
      <c r="K11" t="s">
        <v>32</v>
      </c>
      <c r="L11" t="str">
        <f t="shared" si="0"/>
        <v>Closed</v>
      </c>
      <c r="M11">
        <f t="shared" si="5"/>
        <v>51</v>
      </c>
      <c r="N11" s="1">
        <f t="shared" si="2"/>
        <v>0</v>
      </c>
      <c r="O11" s="7">
        <f t="shared" si="6"/>
        <v>45839</v>
      </c>
      <c r="P11" s="7" t="str">
        <f>IF(Pipeline[[#This Row],[General Stage]]="Closed",
   "Closed",
  IF(O11&lt;'Forecast Sep-Nov 2025'!$J$6,"Overdue","Current")
)</f>
        <v>Closed</v>
      </c>
      <c r="Q11" s="7">
        <f>IF(L11="Closed",
  EDATE(D11,1),
  IF(
  G11="Negotiation/Review",
  'Forecast Sep-Nov 2025'!$J$6,
  IF(
    G11="Value Proposition",
    EDATE('Forecast Sep-Nov 2025'!$J$6,1),
    EDATE('Forecast Sep-Nov 2025'!$J$6,2)))
)</f>
        <v>45848</v>
      </c>
      <c r="R11" s="7">
        <f t="shared" si="7"/>
        <v>45839</v>
      </c>
      <c r="S11">
        <f>_xlfn.DAYS('Forecast Sep-Nov 2025'!$J$6,Pipeline[[#This Row],[Opportunity Create Date]])</f>
        <v>134</v>
      </c>
    </row>
    <row r="12" spans="1:19">
      <c r="A12" t="s">
        <v>61</v>
      </c>
      <c r="B12" s="1">
        <v>85000</v>
      </c>
      <c r="C12" s="2">
        <v>45828</v>
      </c>
      <c r="D12" s="2">
        <v>45874</v>
      </c>
      <c r="E12" t="s">
        <v>12</v>
      </c>
      <c r="F12" t="s">
        <v>29</v>
      </c>
      <c r="G12" t="s">
        <v>38</v>
      </c>
      <c r="H12" s="3">
        <v>0.2</v>
      </c>
      <c r="I12" t="s">
        <v>15</v>
      </c>
      <c r="J12" t="s">
        <v>16</v>
      </c>
      <c r="K12" t="s">
        <v>22</v>
      </c>
      <c r="L12" t="str">
        <f t="shared" si="0"/>
        <v>Open</v>
      </c>
      <c r="M12">
        <f t="shared" si="5"/>
        <v>46</v>
      </c>
      <c r="N12" s="1">
        <f t="shared" si="2"/>
        <v>17000</v>
      </c>
      <c r="O12" s="7">
        <f t="shared" si="6"/>
        <v>45901</v>
      </c>
      <c r="P12" s="7" t="str">
        <f>IF(Pipeline[[#This Row],[General Stage]]="Closed",
   "Closed",
  IF(O12&lt;'Forecast Sep-Nov 2025'!$J$6,"Overdue","Current")
)</f>
        <v>Current</v>
      </c>
      <c r="Q12" s="7">
        <f>IF(L12="Closed",
  EDATE(D12,1),
  IF(
  G12="Negotiation/Review",
  'Forecast Sep-Nov 2025'!$J$6,
  IF(
    G12="Value Proposition",
    EDATE('Forecast Sep-Nov 2025'!$J$6,1),
    EDATE('Forecast Sep-Nov 2025'!$J$6,2)))
)</f>
        <v>45962</v>
      </c>
      <c r="R12" s="7">
        <f t="shared" si="7"/>
        <v>45901</v>
      </c>
      <c r="S12">
        <f>_xlfn.DAYS('Forecast Sep-Nov 2025'!$J$6,Pipeline[[#This Row],[Opportunity Create Date]])</f>
        <v>73</v>
      </c>
    </row>
    <row r="13" spans="1:19">
      <c r="A13" t="s">
        <v>80</v>
      </c>
      <c r="B13" s="1">
        <v>98000</v>
      </c>
      <c r="C13" s="2">
        <v>45798</v>
      </c>
      <c r="D13" s="2">
        <v>45845</v>
      </c>
      <c r="E13" t="s">
        <v>19</v>
      </c>
      <c r="F13" t="s">
        <v>34</v>
      </c>
      <c r="G13" t="s">
        <v>26</v>
      </c>
      <c r="H13" s="3">
        <v>0.8</v>
      </c>
      <c r="I13" t="s">
        <v>15</v>
      </c>
      <c r="J13" t="s">
        <v>27</v>
      </c>
      <c r="K13" t="s">
        <v>22</v>
      </c>
      <c r="L13" t="str">
        <f t="shared" si="0"/>
        <v>Open</v>
      </c>
      <c r="M13">
        <f t="shared" si="5"/>
        <v>47</v>
      </c>
      <c r="N13" s="1">
        <f t="shared" si="2"/>
        <v>78400</v>
      </c>
      <c r="O13" s="7">
        <f t="shared" si="6"/>
        <v>45870</v>
      </c>
      <c r="P13" s="7" t="str">
        <f>IF(Pipeline[[#This Row],[General Stage]]="Closed",
   "Closed",
  IF(O13&lt;'Forecast Sep-Nov 2025'!$J$6,"Overdue","Current")
)</f>
        <v>Overdue</v>
      </c>
      <c r="Q13" s="7">
        <f>IF(L13="Closed",
  EDATE(D13,1),
  IF(
  G13="Negotiation/Review",
  'Forecast Sep-Nov 2025'!$J$6,
  IF(
    G13="Value Proposition",
    EDATE('Forecast Sep-Nov 2025'!$J$6,1),
    EDATE('Forecast Sep-Nov 2025'!$J$6,2)))
)</f>
        <v>45901</v>
      </c>
      <c r="R13" s="7">
        <f t="shared" si="7"/>
        <v>45901</v>
      </c>
      <c r="S13">
        <f>_xlfn.DAYS('Forecast Sep-Nov 2025'!$J$6,Pipeline[[#This Row],[Opportunity Create Date]])</f>
        <v>103</v>
      </c>
    </row>
    <row r="14" spans="1:19">
      <c r="A14" t="s">
        <v>69</v>
      </c>
      <c r="B14" s="1">
        <v>78000</v>
      </c>
      <c r="C14" s="2">
        <v>45763</v>
      </c>
      <c r="D14" s="2">
        <v>45820</v>
      </c>
      <c r="E14" t="s">
        <v>24</v>
      </c>
      <c r="F14" t="s">
        <v>25</v>
      </c>
      <c r="G14" t="s">
        <v>14</v>
      </c>
      <c r="H14" s="3">
        <v>1</v>
      </c>
      <c r="I14" t="s">
        <v>15</v>
      </c>
      <c r="J14" t="s">
        <v>16</v>
      </c>
      <c r="K14" t="s">
        <v>22</v>
      </c>
      <c r="L14" t="str">
        <f t="shared" si="0"/>
        <v>Closed</v>
      </c>
      <c r="M14">
        <f t="shared" si="5"/>
        <v>57</v>
      </c>
      <c r="N14" s="1">
        <f t="shared" si="2"/>
        <v>0</v>
      </c>
      <c r="O14" s="7">
        <f t="shared" si="6"/>
        <v>45839</v>
      </c>
      <c r="P14" s="7" t="str">
        <f>IF(Pipeline[[#This Row],[General Stage]]="Closed",
   "Closed",
  IF(O14&lt;'Forecast Sep-Nov 2025'!$J$6,"Overdue","Current")
)</f>
        <v>Closed</v>
      </c>
      <c r="Q14" s="7">
        <f>IF(L14="Closed",
  EDATE(D14,1),
  IF(
  G14="Negotiation/Review",
  'Forecast Sep-Nov 2025'!$J$6,
  IF(
    G14="Value Proposition",
    EDATE('Forecast Sep-Nov 2025'!$J$6,1),
    EDATE('Forecast Sep-Nov 2025'!$J$6,2)))
)</f>
        <v>45850</v>
      </c>
      <c r="R14" s="7">
        <f t="shared" si="7"/>
        <v>45839</v>
      </c>
      <c r="S14">
        <f>_xlfn.DAYS('Forecast Sep-Nov 2025'!$J$6,Pipeline[[#This Row],[Opportunity Create Date]])</f>
        <v>138</v>
      </c>
    </row>
    <row r="15" spans="1:19">
      <c r="A15" t="s">
        <v>55</v>
      </c>
      <c r="B15" s="1">
        <v>110000</v>
      </c>
      <c r="C15" s="2">
        <v>45813</v>
      </c>
      <c r="D15" s="2">
        <v>45870</v>
      </c>
      <c r="E15" t="s">
        <v>12</v>
      </c>
      <c r="F15" t="s">
        <v>34</v>
      </c>
      <c r="G15" t="s">
        <v>38</v>
      </c>
      <c r="H15" s="3">
        <v>0.2</v>
      </c>
      <c r="I15" t="s">
        <v>15</v>
      </c>
      <c r="J15" t="s">
        <v>27</v>
      </c>
      <c r="K15" t="s">
        <v>17</v>
      </c>
      <c r="L15" t="str">
        <f t="shared" si="0"/>
        <v>Open</v>
      </c>
      <c r="M15">
        <f t="shared" si="5"/>
        <v>57</v>
      </c>
      <c r="N15" s="1">
        <f t="shared" si="2"/>
        <v>22000</v>
      </c>
      <c r="O15" s="7">
        <f t="shared" si="6"/>
        <v>45901</v>
      </c>
      <c r="P15" s="7" t="str">
        <f>IF(Pipeline[[#This Row],[General Stage]]="Closed",
   "Closed",
  IF(O15&lt;'Forecast Sep-Nov 2025'!$J$6,"Overdue","Current")
)</f>
        <v>Current</v>
      </c>
      <c r="Q15" s="7">
        <f>IF(L15="Closed",
  EDATE(D15,1),
  IF(
  G15="Negotiation/Review",
  'Forecast Sep-Nov 2025'!$J$6,
  IF(
    G15="Value Proposition",
    EDATE('Forecast Sep-Nov 2025'!$J$6,1),
    EDATE('Forecast Sep-Nov 2025'!$J$6,2)))
)</f>
        <v>45962</v>
      </c>
      <c r="R15" s="7">
        <f t="shared" si="7"/>
        <v>45901</v>
      </c>
      <c r="S15">
        <f>_xlfn.DAYS('Forecast Sep-Nov 2025'!$J$6,Pipeline[[#This Row],[Opportunity Create Date]])</f>
        <v>88</v>
      </c>
    </row>
    <row r="16" spans="1:19">
      <c r="A16" t="s">
        <v>44</v>
      </c>
      <c r="B16" s="1">
        <v>80000</v>
      </c>
      <c r="C16" s="2">
        <v>45780</v>
      </c>
      <c r="D16" s="2">
        <v>45839</v>
      </c>
      <c r="E16" t="s">
        <v>24</v>
      </c>
      <c r="F16" t="s">
        <v>34</v>
      </c>
      <c r="G16" t="s">
        <v>26</v>
      </c>
      <c r="H16" s="3">
        <v>0.8</v>
      </c>
      <c r="I16" t="s">
        <v>21</v>
      </c>
      <c r="J16" t="s">
        <v>31</v>
      </c>
      <c r="K16" t="s">
        <v>17</v>
      </c>
      <c r="L16" t="str">
        <f t="shared" si="0"/>
        <v>Open</v>
      </c>
      <c r="M16">
        <f t="shared" si="5"/>
        <v>59</v>
      </c>
      <c r="N16" s="1">
        <f t="shared" si="2"/>
        <v>64000</v>
      </c>
      <c r="O16" s="7">
        <f t="shared" si="6"/>
        <v>45870</v>
      </c>
      <c r="P16" s="7" t="str">
        <f>IF(Pipeline[[#This Row],[General Stage]]="Closed",
   "Closed",
  IF(O16&lt;'Forecast Sep-Nov 2025'!$J$6,"Overdue","Current")
)</f>
        <v>Overdue</v>
      </c>
      <c r="Q16" s="7">
        <f>IF(L16="Closed",
  EDATE(D16,1),
  IF(
  G16="Negotiation/Review",
  'Forecast Sep-Nov 2025'!$J$6,
  IF(
    G16="Value Proposition",
    EDATE('Forecast Sep-Nov 2025'!$J$6,1),
    EDATE('Forecast Sep-Nov 2025'!$J$6,2)))
)</f>
        <v>45901</v>
      </c>
      <c r="R16" s="7">
        <f t="shared" si="7"/>
        <v>45901</v>
      </c>
      <c r="S16">
        <f>_xlfn.DAYS('Forecast Sep-Nov 2025'!$J$6,Pipeline[[#This Row],[Opportunity Create Date]])</f>
        <v>121</v>
      </c>
    </row>
    <row r="17" spans="1:19">
      <c r="A17" t="s">
        <v>48</v>
      </c>
      <c r="B17" s="1">
        <v>70000</v>
      </c>
      <c r="C17" s="2">
        <v>45789</v>
      </c>
      <c r="D17" s="2">
        <v>45848</v>
      </c>
      <c r="E17" t="s">
        <v>24</v>
      </c>
      <c r="F17" t="s">
        <v>20</v>
      </c>
      <c r="G17" t="s">
        <v>38</v>
      </c>
      <c r="H17" s="3">
        <v>0.2</v>
      </c>
      <c r="I17" t="s">
        <v>21</v>
      </c>
      <c r="J17" t="s">
        <v>27</v>
      </c>
      <c r="K17" t="s">
        <v>22</v>
      </c>
      <c r="L17" t="str">
        <f t="shared" si="0"/>
        <v>Open</v>
      </c>
      <c r="M17">
        <f t="shared" si="5"/>
        <v>59</v>
      </c>
      <c r="N17" s="1">
        <f t="shared" si="2"/>
        <v>14000</v>
      </c>
      <c r="O17" s="7">
        <f t="shared" si="6"/>
        <v>45870</v>
      </c>
      <c r="P17" s="7" t="str">
        <f>IF(Pipeline[[#This Row],[General Stage]]="Closed",
   "Closed",
  IF(O17&lt;'Forecast Sep-Nov 2025'!$J$6,"Overdue","Current")
)</f>
        <v>Overdue</v>
      </c>
      <c r="Q17" s="7">
        <f>IF(L17="Closed",
  EDATE(D17,1),
  IF(
  G17="Negotiation/Review",
  'Forecast Sep-Nov 2025'!$J$6,
  IF(
    G17="Value Proposition",
    EDATE('Forecast Sep-Nov 2025'!$J$6,1),
    EDATE('Forecast Sep-Nov 2025'!$J$6,2)))
)</f>
        <v>45962</v>
      </c>
      <c r="R17" s="7">
        <f t="shared" si="7"/>
        <v>45962</v>
      </c>
      <c r="S17">
        <f>_xlfn.DAYS('Forecast Sep-Nov 2025'!$J$6,Pipeline[[#This Row],[Opportunity Create Date]])</f>
        <v>112</v>
      </c>
    </row>
    <row r="18" spans="1:19">
      <c r="A18" t="s">
        <v>11</v>
      </c>
      <c r="B18" s="1">
        <v>150000</v>
      </c>
      <c r="C18" s="2">
        <v>45748</v>
      </c>
      <c r="D18" s="2">
        <v>45823</v>
      </c>
      <c r="E18" t="s">
        <v>12</v>
      </c>
      <c r="F18" t="s">
        <v>13</v>
      </c>
      <c r="G18" t="s">
        <v>14</v>
      </c>
      <c r="H18" s="3">
        <v>1</v>
      </c>
      <c r="I18" t="s">
        <v>15</v>
      </c>
      <c r="J18" t="s">
        <v>16</v>
      </c>
      <c r="K18" t="s">
        <v>17</v>
      </c>
      <c r="L18" t="str">
        <f t="shared" si="0"/>
        <v>Closed</v>
      </c>
      <c r="M18">
        <f t="shared" si="5"/>
        <v>75</v>
      </c>
      <c r="N18" s="1">
        <f t="shared" si="2"/>
        <v>0</v>
      </c>
      <c r="O18" s="7">
        <f t="shared" si="6"/>
        <v>45839</v>
      </c>
      <c r="P18" s="7" t="str">
        <f>IF(Pipeline[[#This Row],[General Stage]]="Closed",
   "Closed",
  IF(O18&lt;'Forecast Sep-Nov 2025'!$J$6,"Overdue","Current")
)</f>
        <v>Closed</v>
      </c>
      <c r="Q18" s="7">
        <f>IF(L18="Closed",
  EDATE(D18,1),
  IF(
  G18="Negotiation/Review",
  'Forecast Sep-Nov 2025'!$J$6,
  IF(
    G18="Value Proposition",
    EDATE('Forecast Sep-Nov 2025'!$J$6,1),
    EDATE('Forecast Sep-Nov 2025'!$J$6,2)))
)</f>
        <v>45853</v>
      </c>
      <c r="R18" s="7">
        <f t="shared" si="7"/>
        <v>45839</v>
      </c>
      <c r="S18">
        <f>_xlfn.DAYS('Forecast Sep-Nov 2025'!$J$6,Pipeline[[#This Row],[Opportunity Create Date]])</f>
        <v>153</v>
      </c>
    </row>
    <row r="19" spans="1:19">
      <c r="A19" t="s">
        <v>77</v>
      </c>
      <c r="B19" s="1">
        <v>72000</v>
      </c>
      <c r="C19" s="2">
        <v>45791</v>
      </c>
      <c r="D19" s="2">
        <v>45850</v>
      </c>
      <c r="E19" t="s">
        <v>19</v>
      </c>
      <c r="F19" t="s">
        <v>13</v>
      </c>
      <c r="G19" s="78" t="s">
        <v>41</v>
      </c>
      <c r="H19" s="79">
        <v>0.4</v>
      </c>
      <c r="I19" s="78" t="s">
        <v>21</v>
      </c>
      <c r="J19" s="78" t="s">
        <v>27</v>
      </c>
      <c r="K19" s="78" t="s">
        <v>22</v>
      </c>
      <c r="L19" s="78" t="str">
        <f t="shared" si="0"/>
        <v>Open</v>
      </c>
      <c r="M19" s="78">
        <f t="shared" si="5"/>
        <v>59</v>
      </c>
      <c r="N19" s="80">
        <f t="shared" si="2"/>
        <v>28800</v>
      </c>
      <c r="O19" s="7">
        <f t="shared" si="6"/>
        <v>45870</v>
      </c>
      <c r="P19" s="7" t="str">
        <f>IF(Pipeline[[#This Row],[General Stage]]="Closed",
   "Closed",
  IF(O19&lt;'Forecast Sep-Nov 2025'!$J$6,"Overdue","Current")
)</f>
        <v>Overdue</v>
      </c>
      <c r="Q19" s="7">
        <f>IF(L19="Closed",
  EDATE(D19,1),
  IF(
  G19="Negotiation/Review",
  'Forecast Sep-Nov 2025'!$J$6,
  IF(
    G19="Value Proposition",
    EDATE('Forecast Sep-Nov 2025'!$J$6,1),
    EDATE('Forecast Sep-Nov 2025'!$J$6,2)))
)</f>
        <v>45962</v>
      </c>
      <c r="R19" s="7">
        <f t="shared" si="7"/>
        <v>45962</v>
      </c>
      <c r="S19">
        <f>_xlfn.DAYS('Forecast Sep-Nov 2025'!$J$6,Pipeline[[#This Row],[Opportunity Create Date]])</f>
        <v>110</v>
      </c>
    </row>
    <row r="20" spans="1:19">
      <c r="A20" t="s">
        <v>18</v>
      </c>
      <c r="B20" s="1">
        <v>75000</v>
      </c>
      <c r="C20" s="2">
        <v>45752</v>
      </c>
      <c r="D20" s="2">
        <v>45828</v>
      </c>
      <c r="E20" t="s">
        <v>19</v>
      </c>
      <c r="F20" t="s">
        <v>20</v>
      </c>
      <c r="G20" t="s">
        <v>14</v>
      </c>
      <c r="H20" s="3">
        <v>1</v>
      </c>
      <c r="I20" t="s">
        <v>21</v>
      </c>
      <c r="J20" t="s">
        <v>16</v>
      </c>
      <c r="K20" t="s">
        <v>22</v>
      </c>
      <c r="L20" t="str">
        <f t="shared" si="0"/>
        <v>Closed</v>
      </c>
      <c r="M20">
        <f t="shared" si="5"/>
        <v>76</v>
      </c>
      <c r="N20" s="1">
        <f t="shared" si="2"/>
        <v>0</v>
      </c>
      <c r="O20" s="7">
        <f t="shared" si="6"/>
        <v>45839</v>
      </c>
      <c r="P20" s="7" t="str">
        <f>IF(Pipeline[[#This Row],[General Stage]]="Closed",
   "Closed",
  IF(O20&lt;'Forecast Sep-Nov 2025'!$J$6,"Overdue","Current")
)</f>
        <v>Closed</v>
      </c>
      <c r="Q20" s="7">
        <f>IF(L20="Closed",
  EDATE(D20,1),
  IF(
  G20="Negotiation/Review",
  'Forecast Sep-Nov 2025'!$J$6,
  IF(
    G20="Value Proposition",
    EDATE('Forecast Sep-Nov 2025'!$J$6,1),
    EDATE('Forecast Sep-Nov 2025'!$J$6,2)))
)</f>
        <v>45858</v>
      </c>
      <c r="R20" s="7">
        <f t="shared" si="7"/>
        <v>45839</v>
      </c>
      <c r="S20">
        <f>_xlfn.DAYS('Forecast Sep-Nov 2025'!$J$6,Pipeline[[#This Row],[Opportunity Create Date]])</f>
        <v>149</v>
      </c>
    </row>
    <row r="21" spans="1:19">
      <c r="A21" t="s">
        <v>53</v>
      </c>
      <c r="B21" s="1">
        <v>160000</v>
      </c>
      <c r="C21" s="2">
        <v>45802</v>
      </c>
      <c r="D21" s="2">
        <v>45884</v>
      </c>
      <c r="E21" t="s">
        <v>19</v>
      </c>
      <c r="F21" t="s">
        <v>20</v>
      </c>
      <c r="G21" s="78" t="s">
        <v>26</v>
      </c>
      <c r="H21" s="79">
        <v>0.8</v>
      </c>
      <c r="I21" s="78" t="s">
        <v>15</v>
      </c>
      <c r="J21" s="78" t="s">
        <v>31</v>
      </c>
      <c r="K21" s="78" t="s">
        <v>17</v>
      </c>
      <c r="L21" s="78" t="str">
        <f t="shared" si="0"/>
        <v>Open</v>
      </c>
      <c r="M21" s="78">
        <f t="shared" si="5"/>
        <v>82</v>
      </c>
      <c r="N21" s="80">
        <f t="shared" si="2"/>
        <v>128000</v>
      </c>
      <c r="O21" s="7">
        <f t="shared" si="6"/>
        <v>45901</v>
      </c>
      <c r="P21" s="7" t="str">
        <f>IF(Pipeline[[#This Row],[General Stage]]="Closed",
   "Closed",
  IF(O21&lt;'Forecast Sep-Nov 2025'!$J$6,"Overdue","Current")
)</f>
        <v>Current</v>
      </c>
      <c r="Q21" s="7">
        <f>IF(L21="Closed",
  EDATE(D21,1),
  IF(
  G21="Negotiation/Review",
  'Forecast Sep-Nov 2025'!$J$6,
  IF(
    G21="Value Proposition",
    EDATE('Forecast Sep-Nov 2025'!$J$6,1),
    EDATE('Forecast Sep-Nov 2025'!$J$6,2)))
)</f>
        <v>45901</v>
      </c>
      <c r="R21" s="7">
        <f t="shared" si="7"/>
        <v>45901</v>
      </c>
      <c r="S21">
        <f>_xlfn.DAYS('Forecast Sep-Nov 2025'!$J$6,Pipeline[[#This Row],[Opportunity Create Date]])</f>
        <v>99</v>
      </c>
    </row>
    <row r="22" spans="1:19">
      <c r="A22" t="s">
        <v>33</v>
      </c>
      <c r="B22" s="1">
        <v>120000</v>
      </c>
      <c r="C22" s="2">
        <v>45759</v>
      </c>
      <c r="D22" s="2">
        <v>45853</v>
      </c>
      <c r="E22" t="s">
        <v>19</v>
      </c>
      <c r="F22" t="s">
        <v>34</v>
      </c>
      <c r="G22" s="78" t="s">
        <v>35</v>
      </c>
      <c r="H22" s="79">
        <v>0.6</v>
      </c>
      <c r="I22" s="78" t="s">
        <v>15</v>
      </c>
      <c r="J22" s="78" t="s">
        <v>27</v>
      </c>
      <c r="K22" s="78" t="s">
        <v>22</v>
      </c>
      <c r="L22" s="78" t="str">
        <f t="shared" si="0"/>
        <v>Open</v>
      </c>
      <c r="M22" s="78">
        <f t="shared" si="5"/>
        <v>94</v>
      </c>
      <c r="N22" s="80">
        <f t="shared" si="2"/>
        <v>72000</v>
      </c>
      <c r="O22" s="7">
        <f t="shared" si="6"/>
        <v>45870</v>
      </c>
      <c r="P22" s="7" t="str">
        <f>IF(Pipeline[[#This Row],[General Stage]]="Closed",
   "Closed",
  IF(O22&lt;'Forecast Sep-Nov 2025'!$J$6,"Overdue","Current")
)</f>
        <v>Overdue</v>
      </c>
      <c r="Q22" s="7">
        <f>IF(L22="Closed",
  EDATE(D22,1),
  IF(
  G22="Negotiation/Review",
  'Forecast Sep-Nov 2025'!$J$6,
  IF(
    G22="Value Proposition",
    EDATE('Forecast Sep-Nov 2025'!$J$6,1),
    EDATE('Forecast Sep-Nov 2025'!$J$6,2)))
)</f>
        <v>45931</v>
      </c>
      <c r="R22" s="7">
        <f t="shared" si="7"/>
        <v>45931</v>
      </c>
      <c r="S22">
        <f>_xlfn.DAYS('Forecast Sep-Nov 2025'!$J$6,Pipeline[[#This Row],[Opportunity Create Date]])</f>
        <v>142</v>
      </c>
    </row>
    <row r="23" spans="1:19">
      <c r="A23" t="s">
        <v>68</v>
      </c>
      <c r="B23" s="1">
        <v>135000</v>
      </c>
      <c r="C23" s="2">
        <v>45761</v>
      </c>
      <c r="D23" s="2">
        <v>45858</v>
      </c>
      <c r="E23" t="s">
        <v>19</v>
      </c>
      <c r="F23" t="s">
        <v>20</v>
      </c>
      <c r="G23" s="78" t="s">
        <v>41</v>
      </c>
      <c r="H23" s="79">
        <v>0.4</v>
      </c>
      <c r="I23" s="78" t="s">
        <v>15</v>
      </c>
      <c r="J23" s="78" t="s">
        <v>27</v>
      </c>
      <c r="K23" s="78" t="s">
        <v>17</v>
      </c>
      <c r="L23" s="78" t="str">
        <f t="shared" si="0"/>
        <v>Open</v>
      </c>
      <c r="M23" s="78">
        <f t="shared" si="5"/>
        <v>97</v>
      </c>
      <c r="N23" s="80">
        <f t="shared" si="2"/>
        <v>54000</v>
      </c>
      <c r="O23" s="7">
        <f t="shared" si="6"/>
        <v>45870</v>
      </c>
      <c r="P23" s="7" t="str">
        <f>IF(Pipeline[[#This Row],[General Stage]]="Closed",
   "Closed",
  IF(O23&lt;'Forecast Sep-Nov 2025'!$J$6,"Overdue","Current")
)</f>
        <v>Overdue</v>
      </c>
      <c r="Q23" s="7">
        <f>IF(L23="Closed",
  EDATE(D23,1),
  IF(
  G23="Negotiation/Review",
  'Forecast Sep-Nov 2025'!$J$6,
  IF(
    G23="Value Proposition",
    EDATE('Forecast Sep-Nov 2025'!$J$6,1),
    EDATE('Forecast Sep-Nov 2025'!$J$6,2)))
)</f>
        <v>45962</v>
      </c>
      <c r="R23" s="7">
        <f t="shared" si="7"/>
        <v>45962</v>
      </c>
      <c r="S23">
        <f>_xlfn.DAYS('Forecast Sep-Nov 2025'!$J$6,Pipeline[[#This Row],[Opportunity Create Date]])</f>
        <v>140</v>
      </c>
    </row>
    <row r="24" spans="1:19">
      <c r="A24" t="s">
        <v>62</v>
      </c>
      <c r="B24" s="1">
        <v>52000</v>
      </c>
      <c r="C24" s="2">
        <v>45853</v>
      </c>
      <c r="D24" s="2">
        <v>45828</v>
      </c>
      <c r="E24" t="s">
        <v>19</v>
      </c>
      <c r="F24" t="s">
        <v>13</v>
      </c>
      <c r="G24" t="s">
        <v>14</v>
      </c>
      <c r="H24" s="3">
        <v>1</v>
      </c>
      <c r="I24" t="s">
        <v>15</v>
      </c>
      <c r="J24" t="s">
        <v>27</v>
      </c>
      <c r="K24" t="s">
        <v>32</v>
      </c>
      <c r="L24" t="str">
        <f t="shared" si="0"/>
        <v>Closed</v>
      </c>
      <c r="M24">
        <f t="shared" si="5"/>
        <v>-25</v>
      </c>
      <c r="N24" s="1">
        <f t="shared" si="2"/>
        <v>0</v>
      </c>
      <c r="O24" s="7">
        <f t="shared" si="6"/>
        <v>45839</v>
      </c>
      <c r="P24" s="7" t="str">
        <f>IF(Pipeline[[#This Row],[General Stage]]="Closed",
   "Closed",
  IF(O24&lt;'Forecast Sep-Nov 2025'!$J$6,"Overdue","Current")
)</f>
        <v>Closed</v>
      </c>
      <c r="Q24" s="7">
        <f>IF(L24="Closed",
  EDATE(D24,1),
  IF(
  G24="Negotiation/Review",
  'Forecast Sep-Nov 2025'!$J$6,
  IF(
    G24="Value Proposition",
    EDATE('Forecast Sep-Nov 2025'!$J$6,1),
    EDATE('Forecast Sep-Nov 2025'!$J$6,2)))
)</f>
        <v>45858</v>
      </c>
      <c r="R24" s="7">
        <f t="shared" si="7"/>
        <v>45839</v>
      </c>
      <c r="S24">
        <f>_xlfn.DAYS('Forecast Sep-Nov 2025'!$J$6,Pipeline[[#This Row],[Opportunity Create Date]])</f>
        <v>48</v>
      </c>
    </row>
    <row r="25" spans="1:19">
      <c r="A25" t="s">
        <v>49</v>
      </c>
      <c r="B25" s="1">
        <v>220000</v>
      </c>
      <c r="C25" s="2">
        <v>45792</v>
      </c>
      <c r="D25" s="2">
        <v>45889</v>
      </c>
      <c r="E25" t="s">
        <v>12</v>
      </c>
      <c r="F25" t="s">
        <v>25</v>
      </c>
      <c r="G25" s="78" t="s">
        <v>41</v>
      </c>
      <c r="H25" s="79">
        <v>0.4</v>
      </c>
      <c r="I25" s="78" t="s">
        <v>15</v>
      </c>
      <c r="J25" s="78" t="s">
        <v>31</v>
      </c>
      <c r="K25" s="78" t="s">
        <v>17</v>
      </c>
      <c r="L25" s="78" t="str">
        <f t="shared" si="0"/>
        <v>Open</v>
      </c>
      <c r="M25" s="78">
        <f t="shared" si="5"/>
        <v>97</v>
      </c>
      <c r="N25" s="80">
        <f t="shared" si="2"/>
        <v>88000</v>
      </c>
      <c r="O25" s="7">
        <f t="shared" si="6"/>
        <v>45901</v>
      </c>
      <c r="P25" s="7" t="str">
        <f>IF(Pipeline[[#This Row],[General Stage]]="Closed",
   "Closed",
  IF(O25&lt;'Forecast Sep-Nov 2025'!$J$6,"Overdue","Current")
)</f>
        <v>Current</v>
      </c>
      <c r="Q25" s="7">
        <f>IF(L25="Closed",
  EDATE(D25,1),
  IF(
  G25="Negotiation/Review",
  'Forecast Sep-Nov 2025'!$J$6,
  IF(
    G25="Value Proposition",
    EDATE('Forecast Sep-Nov 2025'!$J$6,1),
    EDATE('Forecast Sep-Nov 2025'!$J$6,2)))
)</f>
        <v>45962</v>
      </c>
      <c r="R25" s="7">
        <f t="shared" si="7"/>
        <v>45901</v>
      </c>
      <c r="S25">
        <f>_xlfn.DAYS('Forecast Sep-Nov 2025'!$J$6,Pipeline[[#This Row],[Opportunity Create Date]])</f>
        <v>109</v>
      </c>
    </row>
    <row r="26" spans="1:19">
      <c r="A26" t="s">
        <v>63</v>
      </c>
      <c r="B26" s="1">
        <v>170000</v>
      </c>
      <c r="C26" s="2">
        <v>45833</v>
      </c>
      <c r="D26" s="2">
        <v>45930</v>
      </c>
      <c r="E26" t="s">
        <v>24</v>
      </c>
      <c r="F26" t="s">
        <v>20</v>
      </c>
      <c r="G26" s="78" t="s">
        <v>26</v>
      </c>
      <c r="H26" s="79">
        <v>0.8</v>
      </c>
      <c r="I26" s="78" t="s">
        <v>21</v>
      </c>
      <c r="J26" s="78" t="s">
        <v>16</v>
      </c>
      <c r="K26" s="78" t="s">
        <v>17</v>
      </c>
      <c r="L26" s="78" t="str">
        <f t="shared" si="0"/>
        <v>Open</v>
      </c>
      <c r="M26" s="78">
        <f t="shared" si="5"/>
        <v>97</v>
      </c>
      <c r="N26" s="80">
        <f t="shared" si="2"/>
        <v>136000</v>
      </c>
      <c r="O26" s="7">
        <f t="shared" si="6"/>
        <v>45931</v>
      </c>
      <c r="P26" s="7" t="str">
        <f>IF(Pipeline[[#This Row],[General Stage]]="Closed",
   "Closed",
  IF(O26&lt;'Forecast Sep-Nov 2025'!$J$6,"Overdue","Current")
)</f>
        <v>Current</v>
      </c>
      <c r="Q26" s="7">
        <f>IF(L26="Closed",
  EDATE(D26,1),
  IF(
  G26="Negotiation/Review",
  'Forecast Sep-Nov 2025'!$J$6,
  IF(
    G26="Value Proposition",
    EDATE('Forecast Sep-Nov 2025'!$J$6,1),
    EDATE('Forecast Sep-Nov 2025'!$J$6,2)))
)</f>
        <v>45901</v>
      </c>
      <c r="R26" s="7">
        <f t="shared" si="7"/>
        <v>45931</v>
      </c>
      <c r="S26">
        <f>_xlfn.DAYS('Forecast Sep-Nov 2025'!$J$6,Pipeline[[#This Row],[Opportunity Create Date]])</f>
        <v>68</v>
      </c>
    </row>
    <row r="27" spans="1:19">
      <c r="A27" t="s">
        <v>50</v>
      </c>
      <c r="B27" s="1">
        <v>40000</v>
      </c>
      <c r="C27" s="2">
        <v>45795</v>
      </c>
      <c r="D27" s="2">
        <v>45833</v>
      </c>
      <c r="E27" t="s">
        <v>19</v>
      </c>
      <c r="F27" t="s">
        <v>29</v>
      </c>
      <c r="G27" t="s">
        <v>30</v>
      </c>
      <c r="H27" s="3">
        <v>0</v>
      </c>
      <c r="I27" t="s">
        <v>15</v>
      </c>
      <c r="J27" t="s">
        <v>16</v>
      </c>
      <c r="K27" t="s">
        <v>32</v>
      </c>
      <c r="L27" t="str">
        <f t="shared" si="0"/>
        <v>Closed</v>
      </c>
      <c r="M27">
        <f t="shared" si="5"/>
        <v>38</v>
      </c>
      <c r="N27" s="1">
        <f t="shared" si="2"/>
        <v>0</v>
      </c>
      <c r="O27" s="7">
        <f t="shared" si="6"/>
        <v>45839</v>
      </c>
      <c r="P27" s="7" t="str">
        <f>IF(Pipeline[[#This Row],[General Stage]]="Closed",
   "Closed",
  IF(O27&lt;'Forecast Sep-Nov 2025'!$J$6,"Overdue","Current")
)</f>
        <v>Closed</v>
      </c>
      <c r="Q27" s="7">
        <f>IF(L27="Closed",
  EDATE(D27,1),
  IF(
  G27="Negotiation/Review",
  'Forecast Sep-Nov 2025'!$J$6,
  IF(
    G27="Value Proposition",
    EDATE('Forecast Sep-Nov 2025'!$J$6,1),
    EDATE('Forecast Sep-Nov 2025'!$J$6,2)))
)</f>
        <v>45863</v>
      </c>
      <c r="R27" s="7">
        <f t="shared" si="7"/>
        <v>45839</v>
      </c>
      <c r="S27">
        <f>_xlfn.DAYS('Forecast Sep-Nov 2025'!$J$6,Pipeline[[#This Row],[Opportunity Create Date]])</f>
        <v>106</v>
      </c>
    </row>
    <row r="28" spans="1:19">
      <c r="A28" t="s">
        <v>78</v>
      </c>
      <c r="B28" s="1">
        <v>210000</v>
      </c>
      <c r="C28" s="2">
        <v>45793</v>
      </c>
      <c r="D28" s="2">
        <v>45891</v>
      </c>
      <c r="E28" t="s">
        <v>24</v>
      </c>
      <c r="F28" t="s">
        <v>25</v>
      </c>
      <c r="G28" s="78" t="s">
        <v>47</v>
      </c>
      <c r="H28" s="79">
        <v>0.1</v>
      </c>
      <c r="I28" s="78" t="s">
        <v>15</v>
      </c>
      <c r="J28" s="78" t="s">
        <v>31</v>
      </c>
      <c r="K28" s="78" t="s">
        <v>17</v>
      </c>
      <c r="L28" s="78" t="str">
        <f t="shared" si="0"/>
        <v>Open</v>
      </c>
      <c r="M28" s="78">
        <f t="shared" si="5"/>
        <v>98</v>
      </c>
      <c r="N28" s="80">
        <f t="shared" si="2"/>
        <v>21000</v>
      </c>
      <c r="O28" s="7">
        <f t="shared" si="6"/>
        <v>45901</v>
      </c>
      <c r="P28" s="7" t="str">
        <f>IF(Pipeline[[#This Row],[General Stage]]="Closed",
   "Closed",
  IF(O28&lt;'Forecast Sep-Nov 2025'!$J$6,"Overdue","Current")
)</f>
        <v>Current</v>
      </c>
      <c r="Q28" s="7">
        <f>IF(L28="Closed",
  EDATE(D28,1),
  IF(
  G28="Negotiation/Review",
  'Forecast Sep-Nov 2025'!$J$6,
  IF(
    G28="Value Proposition",
    EDATE('Forecast Sep-Nov 2025'!$J$6,1),
    EDATE('Forecast Sep-Nov 2025'!$J$6,2)))
)</f>
        <v>45962</v>
      </c>
      <c r="R28" s="7">
        <f t="shared" si="7"/>
        <v>45901</v>
      </c>
      <c r="S28">
        <f>_xlfn.DAYS('Forecast Sep-Nov 2025'!$J$6,Pipeline[[#This Row],[Opportunity Create Date]])</f>
        <v>108</v>
      </c>
    </row>
    <row r="29" spans="1:19">
      <c r="A29" t="s">
        <v>70</v>
      </c>
      <c r="B29" s="1">
        <v>33000</v>
      </c>
      <c r="C29" s="2">
        <v>45766</v>
      </c>
      <c r="D29" s="2">
        <v>45866</v>
      </c>
      <c r="E29" t="s">
        <v>12</v>
      </c>
      <c r="F29" t="s">
        <v>29</v>
      </c>
      <c r="G29" s="78" t="s">
        <v>47</v>
      </c>
      <c r="H29" s="79">
        <v>0.1</v>
      </c>
      <c r="I29" s="78" t="s">
        <v>21</v>
      </c>
      <c r="J29" s="78" t="s">
        <v>31</v>
      </c>
      <c r="K29" s="78" t="s">
        <v>32</v>
      </c>
      <c r="L29" s="78" t="str">
        <f t="shared" si="0"/>
        <v>Open</v>
      </c>
      <c r="M29" s="78">
        <f t="shared" si="5"/>
        <v>100</v>
      </c>
      <c r="N29" s="80">
        <f t="shared" si="2"/>
        <v>3300</v>
      </c>
      <c r="O29" s="7">
        <f t="shared" si="6"/>
        <v>45870</v>
      </c>
      <c r="P29" s="7" t="str">
        <f>IF(Pipeline[[#This Row],[General Stage]]="Closed",
   "Closed",
  IF(O29&lt;'Forecast Sep-Nov 2025'!$J$6,"Overdue","Current")
)</f>
        <v>Overdue</v>
      </c>
      <c r="Q29" s="7">
        <f>IF(L29="Closed",
  EDATE(D29,1),
  IF(
  G29="Negotiation/Review",
  'Forecast Sep-Nov 2025'!$J$6,
  IF(
    G29="Value Proposition",
    EDATE('Forecast Sep-Nov 2025'!$J$6,1),
    EDATE('Forecast Sep-Nov 2025'!$J$6,2)))
)</f>
        <v>45962</v>
      </c>
      <c r="R29" s="7">
        <f t="shared" si="7"/>
        <v>45962</v>
      </c>
      <c r="S29">
        <f>_xlfn.DAYS('Forecast Sep-Nov 2025'!$J$6,Pipeline[[#This Row],[Opportunity Create Date]])</f>
        <v>135</v>
      </c>
    </row>
    <row r="30" spans="1:19">
      <c r="A30" t="s">
        <v>65</v>
      </c>
      <c r="B30" s="1">
        <v>60000</v>
      </c>
      <c r="C30" s="2">
        <v>45754</v>
      </c>
      <c r="D30" s="2">
        <v>45833</v>
      </c>
      <c r="E30" t="s">
        <v>19</v>
      </c>
      <c r="F30" t="s">
        <v>29</v>
      </c>
      <c r="G30" t="s">
        <v>30</v>
      </c>
      <c r="H30" s="3">
        <v>0</v>
      </c>
      <c r="I30" t="s">
        <v>15</v>
      </c>
      <c r="J30" t="s">
        <v>27</v>
      </c>
      <c r="K30" t="s">
        <v>32</v>
      </c>
      <c r="L30" t="str">
        <f t="shared" si="0"/>
        <v>Closed</v>
      </c>
      <c r="M30">
        <f t="shared" si="5"/>
        <v>79</v>
      </c>
      <c r="N30" s="1">
        <f t="shared" si="2"/>
        <v>0</v>
      </c>
      <c r="O30" s="7">
        <f t="shared" si="6"/>
        <v>45839</v>
      </c>
      <c r="P30" s="7" t="str">
        <f>IF(Pipeline[[#This Row],[General Stage]]="Closed",
   "Closed",
  IF(O30&lt;'Forecast Sep-Nov 2025'!$J$6,"Overdue","Current")
)</f>
        <v>Closed</v>
      </c>
      <c r="Q30" s="7">
        <f>IF(L30="Closed",
  EDATE(D30,1),
  IF(
  G30="Negotiation/Review",
  'Forecast Sep-Nov 2025'!$J$6,
  IF(
    G30="Value Proposition",
    EDATE('Forecast Sep-Nov 2025'!$J$6,1),
    EDATE('Forecast Sep-Nov 2025'!$J$6,2)))
)</f>
        <v>45863</v>
      </c>
      <c r="R30" s="7">
        <f t="shared" si="7"/>
        <v>45839</v>
      </c>
      <c r="S30">
        <f>_xlfn.DAYS('Forecast Sep-Nov 2025'!$J$6,Pipeline[[#This Row],[Opportunity Create Date]])</f>
        <v>147</v>
      </c>
    </row>
    <row r="31" spans="1:19">
      <c r="A31" t="s">
        <v>43</v>
      </c>
      <c r="B31" s="1">
        <v>100000</v>
      </c>
      <c r="C31" s="2">
        <v>45778</v>
      </c>
      <c r="D31" s="2">
        <v>45879</v>
      </c>
      <c r="E31" t="s">
        <v>19</v>
      </c>
      <c r="F31" t="s">
        <v>25</v>
      </c>
      <c r="G31" s="78" t="s">
        <v>35</v>
      </c>
      <c r="H31" s="79">
        <v>0.6</v>
      </c>
      <c r="I31" s="78" t="s">
        <v>15</v>
      </c>
      <c r="J31" s="78" t="s">
        <v>16</v>
      </c>
      <c r="K31" s="78" t="s">
        <v>22</v>
      </c>
      <c r="L31" s="78" t="str">
        <f t="shared" si="0"/>
        <v>Open</v>
      </c>
      <c r="M31" s="78">
        <f t="shared" si="5"/>
        <v>101</v>
      </c>
      <c r="N31" s="80">
        <f t="shared" si="2"/>
        <v>60000</v>
      </c>
      <c r="O31" s="7">
        <f t="shared" si="6"/>
        <v>45901</v>
      </c>
      <c r="P31" s="7" t="str">
        <f>IF(Pipeline[[#This Row],[General Stage]]="Closed",
   "Closed",
  IF(O31&lt;'Forecast Sep-Nov 2025'!$J$6,"Overdue","Current")
)</f>
        <v>Current</v>
      </c>
      <c r="Q31" s="7">
        <f>IF(L31="Closed",
  EDATE(D31,1),
  IF(
  G31="Negotiation/Review",
  'Forecast Sep-Nov 2025'!$J$6,
  IF(
    G31="Value Proposition",
    EDATE('Forecast Sep-Nov 2025'!$J$6,1),
    EDATE('Forecast Sep-Nov 2025'!$J$6,2)))
)</f>
        <v>45931</v>
      </c>
      <c r="R31" s="7">
        <f t="shared" si="7"/>
        <v>45901</v>
      </c>
      <c r="S31">
        <f>_xlfn.DAYS('Forecast Sep-Nov 2025'!$J$6,Pipeline[[#This Row],[Opportunity Create Date]])</f>
        <v>123</v>
      </c>
    </row>
    <row r="32" spans="1:19">
      <c r="A32" t="s">
        <v>79</v>
      </c>
      <c r="B32" s="1">
        <v>43000</v>
      </c>
      <c r="C32" s="2">
        <v>45796</v>
      </c>
      <c r="D32" s="2">
        <v>45834</v>
      </c>
      <c r="E32" t="s">
        <v>12</v>
      </c>
      <c r="F32" t="s">
        <v>29</v>
      </c>
      <c r="G32" t="s">
        <v>14</v>
      </c>
      <c r="H32" s="3">
        <v>1</v>
      </c>
      <c r="I32" t="s">
        <v>15</v>
      </c>
      <c r="J32" t="s">
        <v>16</v>
      </c>
      <c r="K32" t="s">
        <v>32</v>
      </c>
      <c r="L32" t="str">
        <f t="shared" si="0"/>
        <v>Closed</v>
      </c>
      <c r="M32">
        <f t="shared" si="5"/>
        <v>38</v>
      </c>
      <c r="N32" s="1">
        <f t="shared" si="2"/>
        <v>0</v>
      </c>
      <c r="O32" s="7">
        <f t="shared" si="6"/>
        <v>45839</v>
      </c>
      <c r="P32" s="7" t="str">
        <f>IF(Pipeline[[#This Row],[General Stage]]="Closed",
   "Closed",
  IF(O32&lt;'Forecast Sep-Nov 2025'!$J$6,"Overdue","Current")
)</f>
        <v>Closed</v>
      </c>
      <c r="Q32" s="7">
        <f>IF(L32="Closed",
  EDATE(D32,1),
  IF(
  G32="Negotiation/Review",
  'Forecast Sep-Nov 2025'!$J$6,
  IF(
    G32="Value Proposition",
    EDATE('Forecast Sep-Nov 2025'!$J$6,1),
    EDATE('Forecast Sep-Nov 2025'!$J$6,2)))
)</f>
        <v>45864</v>
      </c>
      <c r="R32" s="7">
        <f t="shared" si="7"/>
        <v>45839</v>
      </c>
      <c r="S32">
        <f>_xlfn.DAYS('Forecast Sep-Nov 2025'!$J$6,Pipeline[[#This Row],[Opportunity Create Date]])</f>
        <v>105</v>
      </c>
    </row>
    <row r="33" spans="1:19">
      <c r="A33" t="s">
        <v>45</v>
      </c>
      <c r="B33" s="1">
        <v>35000</v>
      </c>
      <c r="C33" s="2">
        <v>45784</v>
      </c>
      <c r="D33" s="2">
        <v>45836</v>
      </c>
      <c r="E33" t="s">
        <v>12</v>
      </c>
      <c r="F33" t="s">
        <v>29</v>
      </c>
      <c r="G33" t="s">
        <v>14</v>
      </c>
      <c r="H33" s="3">
        <v>1</v>
      </c>
      <c r="I33" t="s">
        <v>15</v>
      </c>
      <c r="J33" t="s">
        <v>27</v>
      </c>
      <c r="K33" t="s">
        <v>32</v>
      </c>
      <c r="L33" t="str">
        <f t="shared" si="0"/>
        <v>Closed</v>
      </c>
      <c r="M33">
        <f t="shared" si="5"/>
        <v>52</v>
      </c>
      <c r="N33" s="1">
        <f t="shared" si="2"/>
        <v>0</v>
      </c>
      <c r="O33" s="7">
        <f t="shared" si="6"/>
        <v>45839</v>
      </c>
      <c r="P33" s="7" t="str">
        <f>IF(Pipeline[[#This Row],[General Stage]]="Closed",
   "Closed",
  IF(O33&lt;'Forecast Sep-Nov 2025'!$J$6,"Overdue","Current")
)</f>
        <v>Closed</v>
      </c>
      <c r="Q33" s="7">
        <f>IF(L33="Closed",
  EDATE(D33,1),
  IF(
  G33="Negotiation/Review",
  'Forecast Sep-Nov 2025'!$J$6,
  IF(
    G33="Value Proposition",
    EDATE('Forecast Sep-Nov 2025'!$J$6,1),
    EDATE('Forecast Sep-Nov 2025'!$J$6,2)))
)</f>
        <v>45866</v>
      </c>
      <c r="R33" s="7">
        <f t="shared" si="7"/>
        <v>45839</v>
      </c>
      <c r="S33">
        <f>_xlfn.DAYS('Forecast Sep-Nov 2025'!$J$6,Pipeline[[#This Row],[Opportunity Create Date]])</f>
        <v>117</v>
      </c>
    </row>
    <row r="34" spans="1:19">
      <c r="A34" t="s">
        <v>54</v>
      </c>
      <c r="B34" s="1">
        <v>65000</v>
      </c>
      <c r="C34" s="2">
        <v>45809</v>
      </c>
      <c r="D34" s="2">
        <v>45910</v>
      </c>
      <c r="E34" t="s">
        <v>24</v>
      </c>
      <c r="F34" t="s">
        <v>25</v>
      </c>
      <c r="G34" s="78" t="s">
        <v>47</v>
      </c>
      <c r="H34" s="79">
        <v>0.1</v>
      </c>
      <c r="I34" s="78" t="s">
        <v>15</v>
      </c>
      <c r="J34" s="78" t="s">
        <v>16</v>
      </c>
      <c r="K34" s="78" t="s">
        <v>22</v>
      </c>
      <c r="L34" s="78" t="str">
        <f t="shared" ref="L34:L50" si="8">IF(OR(G34="Closed Won", G34="Closed Lost"), "Closed", "Open")</f>
        <v>Open</v>
      </c>
      <c r="M34" s="78">
        <f t="shared" si="5"/>
        <v>101</v>
      </c>
      <c r="N34" s="80">
        <f t="shared" ref="N34:N50" si="9">IF(L34="Open",B34*H34,0)</f>
        <v>6500</v>
      </c>
      <c r="O34" s="7">
        <f t="shared" si="6"/>
        <v>45931</v>
      </c>
      <c r="P34" s="7" t="str">
        <f>IF(Pipeline[[#This Row],[General Stage]]="Closed",
   "Closed",
  IF(O34&lt;'Forecast Sep-Nov 2025'!$J$6,"Overdue","Current")
)</f>
        <v>Current</v>
      </c>
      <c r="Q34" s="7">
        <f>IF(L34="Closed",
  EDATE(D34,1),
  IF(
  G34="Negotiation/Review",
  'Forecast Sep-Nov 2025'!$J$6,
  IF(
    G34="Value Proposition",
    EDATE('Forecast Sep-Nov 2025'!$J$6,1),
    EDATE('Forecast Sep-Nov 2025'!$J$6,2)))
)</f>
        <v>45962</v>
      </c>
      <c r="R34" s="7">
        <f t="shared" si="7"/>
        <v>45931</v>
      </c>
      <c r="S34">
        <f>_xlfn.DAYS('Forecast Sep-Nov 2025'!$J$6,Pipeline[[#This Row],[Opportunity Create Date]])</f>
        <v>92</v>
      </c>
    </row>
    <row r="35" spans="1:19">
      <c r="A35" t="s">
        <v>75</v>
      </c>
      <c r="B35" s="1">
        <v>38000</v>
      </c>
      <c r="C35" s="2">
        <v>45785</v>
      </c>
      <c r="D35" s="2">
        <v>45837</v>
      </c>
      <c r="E35" t="s">
        <v>24</v>
      </c>
      <c r="F35" t="s">
        <v>29</v>
      </c>
      <c r="G35" t="s">
        <v>30</v>
      </c>
      <c r="H35" s="3">
        <v>0</v>
      </c>
      <c r="I35" t="s">
        <v>15</v>
      </c>
      <c r="J35" t="s">
        <v>27</v>
      </c>
      <c r="K35" t="s">
        <v>32</v>
      </c>
      <c r="L35" t="str">
        <f t="shared" si="8"/>
        <v>Closed</v>
      </c>
      <c r="M35">
        <f t="shared" si="5"/>
        <v>52</v>
      </c>
      <c r="N35" s="1">
        <f t="shared" si="9"/>
        <v>0</v>
      </c>
      <c r="O35" s="7">
        <f t="shared" si="6"/>
        <v>45839</v>
      </c>
      <c r="P35" s="7" t="str">
        <f>IF(Pipeline[[#This Row],[General Stage]]="Closed",
   "Closed",
  IF(O35&lt;'Forecast Sep-Nov 2025'!$J$6,"Overdue","Current")
)</f>
        <v>Closed</v>
      </c>
      <c r="Q35" s="7">
        <f>IF(L35="Closed",
  EDATE(D35,1),
  IF(
  G35="Negotiation/Review",
  'Forecast Sep-Nov 2025'!$J$6,
  IF(
    G35="Value Proposition",
    EDATE('Forecast Sep-Nov 2025'!$J$6,1),
    EDATE('Forecast Sep-Nov 2025'!$J$6,2)))
)</f>
        <v>45867</v>
      </c>
      <c r="R35" s="7">
        <f t="shared" si="7"/>
        <v>45839</v>
      </c>
      <c r="S35">
        <f>_xlfn.DAYS('Forecast Sep-Nov 2025'!$J$6,Pipeline[[#This Row],[Opportunity Create Date]])</f>
        <v>116</v>
      </c>
    </row>
    <row r="36" spans="1:19">
      <c r="A36" t="s">
        <v>37</v>
      </c>
      <c r="B36" s="1">
        <v>90000</v>
      </c>
      <c r="C36" s="2">
        <v>45765</v>
      </c>
      <c r="D36" s="2">
        <v>45870</v>
      </c>
      <c r="E36" t="s">
        <v>12</v>
      </c>
      <c r="F36" t="s">
        <v>25</v>
      </c>
      <c r="G36" s="78" t="s">
        <v>38</v>
      </c>
      <c r="H36" s="79">
        <v>0.2</v>
      </c>
      <c r="I36" s="78" t="s">
        <v>15</v>
      </c>
      <c r="J36" s="78" t="s">
        <v>16</v>
      </c>
      <c r="K36" s="78" t="s">
        <v>17</v>
      </c>
      <c r="L36" s="78" t="str">
        <f t="shared" si="8"/>
        <v>Open</v>
      </c>
      <c r="M36" s="78">
        <f t="shared" si="5"/>
        <v>105</v>
      </c>
      <c r="N36" s="80">
        <f t="shared" si="9"/>
        <v>18000</v>
      </c>
      <c r="O36" s="7">
        <f t="shared" si="6"/>
        <v>45901</v>
      </c>
      <c r="P36" s="7" t="str">
        <f>IF(Pipeline[[#This Row],[General Stage]]="Closed",
   "Closed",
  IF(O36&lt;'Forecast Sep-Nov 2025'!$J$6,"Overdue","Current")
)</f>
        <v>Current</v>
      </c>
      <c r="Q36" s="7">
        <f>IF(L36="Closed",
  EDATE(D36,1),
  IF(
  G36="Negotiation/Review",
  'Forecast Sep-Nov 2025'!$J$6,
  IF(
    G36="Value Proposition",
    EDATE('Forecast Sep-Nov 2025'!$J$6,1),
    EDATE('Forecast Sep-Nov 2025'!$J$6,2)))
)</f>
        <v>45962</v>
      </c>
      <c r="R36" s="7">
        <f t="shared" si="7"/>
        <v>45901</v>
      </c>
      <c r="S36">
        <f>_xlfn.DAYS('Forecast Sep-Nov 2025'!$J$6,Pipeline[[#This Row],[Opportunity Create Date]])</f>
        <v>136</v>
      </c>
    </row>
    <row r="37" spans="1:19">
      <c r="A37" t="s">
        <v>52</v>
      </c>
      <c r="B37" s="1">
        <v>50000</v>
      </c>
      <c r="C37" s="2">
        <v>45800</v>
      </c>
      <c r="D37" s="2">
        <v>45838</v>
      </c>
      <c r="E37" t="s">
        <v>12</v>
      </c>
      <c r="F37" t="s">
        <v>13</v>
      </c>
      <c r="G37" t="s">
        <v>14</v>
      </c>
      <c r="H37" s="3">
        <v>1</v>
      </c>
      <c r="I37" t="s">
        <v>21</v>
      </c>
      <c r="J37" t="s">
        <v>16</v>
      </c>
      <c r="K37" t="s">
        <v>32</v>
      </c>
      <c r="L37" t="str">
        <f t="shared" si="8"/>
        <v>Closed</v>
      </c>
      <c r="M37">
        <f t="shared" si="5"/>
        <v>38</v>
      </c>
      <c r="N37" s="1">
        <f t="shared" si="9"/>
        <v>0</v>
      </c>
      <c r="O37" s="7">
        <f t="shared" si="6"/>
        <v>45839</v>
      </c>
      <c r="P37" s="7" t="str">
        <f>IF(Pipeline[[#This Row],[General Stage]]="Closed",
   "Closed",
  IF(O37&lt;'Forecast Sep-Nov 2025'!$J$6,"Overdue","Current")
)</f>
        <v>Closed</v>
      </c>
      <c r="Q37" s="7">
        <f>IF(L37="Closed",
  EDATE(D37,1),
  IF(
  G37="Negotiation/Review",
  'Forecast Sep-Nov 2025'!$J$6,
  IF(
    G37="Value Proposition",
    EDATE('Forecast Sep-Nov 2025'!$J$6,1),
    EDATE('Forecast Sep-Nov 2025'!$J$6,2)))
)</f>
        <v>45868</v>
      </c>
      <c r="R37" s="7">
        <f t="shared" si="7"/>
        <v>45839</v>
      </c>
      <c r="S37">
        <f>_xlfn.DAYS('Forecast Sep-Nov 2025'!$J$6,Pipeline[[#This Row],[Opportunity Create Date]])</f>
        <v>101</v>
      </c>
    </row>
    <row r="38" spans="1:19">
      <c r="A38" t="s">
        <v>60</v>
      </c>
      <c r="B38" s="1">
        <v>140000</v>
      </c>
      <c r="C38" s="2">
        <v>45826</v>
      </c>
      <c r="D38" s="2">
        <v>45931</v>
      </c>
      <c r="E38" t="s">
        <v>24</v>
      </c>
      <c r="F38" t="s">
        <v>34</v>
      </c>
      <c r="G38" s="78" t="s">
        <v>47</v>
      </c>
      <c r="H38" s="79">
        <v>0.1</v>
      </c>
      <c r="I38" s="78" t="s">
        <v>15</v>
      </c>
      <c r="J38" s="78" t="s">
        <v>31</v>
      </c>
      <c r="K38" s="78" t="s">
        <v>17</v>
      </c>
      <c r="L38" s="78" t="str">
        <f t="shared" si="8"/>
        <v>Open</v>
      </c>
      <c r="M38" s="78">
        <f t="shared" si="5"/>
        <v>105</v>
      </c>
      <c r="N38" s="80">
        <f t="shared" si="9"/>
        <v>14000</v>
      </c>
      <c r="O38" s="7">
        <f t="shared" si="6"/>
        <v>45962</v>
      </c>
      <c r="P38" s="7" t="str">
        <f>IF(Pipeline[[#This Row],[General Stage]]="Closed",
   "Closed",
  IF(O38&lt;'Forecast Sep-Nov 2025'!$J$6,"Overdue","Current")
)</f>
        <v>Current</v>
      </c>
      <c r="Q38" s="7">
        <f>IF(L38="Closed",
  EDATE(D38,1),
  IF(
  G38="Negotiation/Review",
  'Forecast Sep-Nov 2025'!$J$6,
  IF(
    G38="Value Proposition",
    EDATE('Forecast Sep-Nov 2025'!$J$6,1),
    EDATE('Forecast Sep-Nov 2025'!$J$6,2)))
)</f>
        <v>45962</v>
      </c>
      <c r="R38" s="7">
        <f t="shared" si="7"/>
        <v>45962</v>
      </c>
      <c r="S38">
        <f>_xlfn.DAYS('Forecast Sep-Nov 2025'!$J$6,Pipeline[[#This Row],[Opportunity Create Date]])</f>
        <v>75</v>
      </c>
    </row>
    <row r="39" spans="1:19">
      <c r="A39" t="s">
        <v>57</v>
      </c>
      <c r="B39" s="1">
        <v>190000</v>
      </c>
      <c r="C39" s="2">
        <v>45818</v>
      </c>
      <c r="D39" s="2">
        <v>45925</v>
      </c>
      <c r="E39" t="s">
        <v>24</v>
      </c>
      <c r="F39" t="s">
        <v>13</v>
      </c>
      <c r="G39" s="78" t="s">
        <v>41</v>
      </c>
      <c r="H39" s="79">
        <v>0.4</v>
      </c>
      <c r="I39" s="78" t="s">
        <v>15</v>
      </c>
      <c r="J39" s="78" t="s">
        <v>31</v>
      </c>
      <c r="K39" s="78" t="s">
        <v>17</v>
      </c>
      <c r="L39" s="78" t="str">
        <f t="shared" si="8"/>
        <v>Open</v>
      </c>
      <c r="M39" s="78">
        <f t="shared" si="5"/>
        <v>107</v>
      </c>
      <c r="N39" s="80">
        <f t="shared" si="9"/>
        <v>76000</v>
      </c>
      <c r="O39" s="7">
        <f t="shared" si="6"/>
        <v>45931</v>
      </c>
      <c r="P39" s="7" t="str">
        <f>IF(Pipeline[[#This Row],[General Stage]]="Closed",
   "Closed",
  IF(O39&lt;'Forecast Sep-Nov 2025'!$J$6,"Overdue","Current")
)</f>
        <v>Current</v>
      </c>
      <c r="Q39" s="7">
        <f>IF(L39="Closed",
  EDATE(D39,1),
  IF(
  G39="Negotiation/Review",
  'Forecast Sep-Nov 2025'!$J$6,
  IF(
    G39="Value Proposition",
    EDATE('Forecast Sep-Nov 2025'!$J$6,1),
    EDATE('Forecast Sep-Nov 2025'!$J$6,2)))
)</f>
        <v>45962</v>
      </c>
      <c r="R39" s="7">
        <f t="shared" si="7"/>
        <v>45931</v>
      </c>
      <c r="S39">
        <f>_xlfn.DAYS('Forecast Sep-Nov 2025'!$J$6,Pipeline[[#This Row],[Opportunity Create Date]])</f>
        <v>83</v>
      </c>
    </row>
    <row r="40" spans="1:19">
      <c r="A40" t="s">
        <v>59</v>
      </c>
      <c r="B40" s="1">
        <v>48000</v>
      </c>
      <c r="C40" s="2">
        <v>45823</v>
      </c>
      <c r="D40" s="2">
        <v>45839</v>
      </c>
      <c r="E40" t="s">
        <v>19</v>
      </c>
      <c r="F40" t="s">
        <v>25</v>
      </c>
      <c r="G40" t="s">
        <v>30</v>
      </c>
      <c r="H40" s="3">
        <v>0</v>
      </c>
      <c r="I40" t="s">
        <v>21</v>
      </c>
      <c r="J40" t="s">
        <v>16</v>
      </c>
      <c r="K40" t="s">
        <v>32</v>
      </c>
      <c r="L40" t="str">
        <f t="shared" si="8"/>
        <v>Closed</v>
      </c>
      <c r="M40">
        <f t="shared" si="5"/>
        <v>16</v>
      </c>
      <c r="N40" s="1">
        <f t="shared" si="9"/>
        <v>0</v>
      </c>
      <c r="O40" s="7">
        <f t="shared" si="6"/>
        <v>45870</v>
      </c>
      <c r="P40" s="7" t="str">
        <f>IF(Pipeline[[#This Row],[General Stage]]="Closed",
   "Closed",
  IF(O40&lt;'Forecast Sep-Nov 2025'!$J$6,"Overdue","Current")
)</f>
        <v>Closed</v>
      </c>
      <c r="Q40" s="7">
        <f>IF(L40="Closed",
  EDATE(D40,1),
  IF(
  G40="Negotiation/Review",
  'Forecast Sep-Nov 2025'!$J$6,
  IF(
    G40="Value Proposition",
    EDATE('Forecast Sep-Nov 2025'!$J$6,1),
    EDATE('Forecast Sep-Nov 2025'!$J$6,2)))
)</f>
        <v>45870</v>
      </c>
      <c r="R40" s="7">
        <f t="shared" si="7"/>
        <v>45870</v>
      </c>
      <c r="S40">
        <f>_xlfn.DAYS('Forecast Sep-Nov 2025'!$J$6,Pipeline[[#This Row],[Opportunity Create Date]])</f>
        <v>78</v>
      </c>
    </row>
    <row r="41" spans="1:19">
      <c r="A41" t="s">
        <v>71</v>
      </c>
      <c r="B41" s="1">
        <v>195000</v>
      </c>
      <c r="C41" s="2">
        <v>45768</v>
      </c>
      <c r="D41" s="2">
        <v>45877</v>
      </c>
      <c r="E41" t="s">
        <v>19</v>
      </c>
      <c r="F41" t="s">
        <v>34</v>
      </c>
      <c r="G41" s="78" t="s">
        <v>26</v>
      </c>
      <c r="H41" s="79">
        <v>0.8</v>
      </c>
      <c r="I41" s="78" t="s">
        <v>15</v>
      </c>
      <c r="J41" s="78" t="s">
        <v>16</v>
      </c>
      <c r="K41" s="78" t="s">
        <v>17</v>
      </c>
      <c r="L41" s="78" t="str">
        <f t="shared" si="8"/>
        <v>Open</v>
      </c>
      <c r="M41" s="78">
        <f t="shared" si="5"/>
        <v>109</v>
      </c>
      <c r="N41" s="80">
        <f t="shared" si="9"/>
        <v>156000</v>
      </c>
      <c r="O41" s="7">
        <f t="shared" si="6"/>
        <v>45901</v>
      </c>
      <c r="P41" s="7" t="str">
        <f>IF(Pipeline[[#This Row],[General Stage]]="Closed",
   "Closed",
  IF(O41&lt;'Forecast Sep-Nov 2025'!$J$6,"Overdue","Current")
)</f>
        <v>Current</v>
      </c>
      <c r="Q41" s="7">
        <f>IF(L41="Closed",
  EDATE(D41,1),
  IF(
  G41="Negotiation/Review",
  'Forecast Sep-Nov 2025'!$J$6,
  IF(
    G41="Value Proposition",
    EDATE('Forecast Sep-Nov 2025'!$J$6,1),
    EDATE('Forecast Sep-Nov 2025'!$J$6,2)))
)</f>
        <v>45901</v>
      </c>
      <c r="R41" s="7">
        <f t="shared" si="7"/>
        <v>45901</v>
      </c>
      <c r="S41">
        <f>_xlfn.DAYS('Forecast Sep-Nov 2025'!$J$6,Pipeline[[#This Row],[Opportunity Create Date]])</f>
        <v>133</v>
      </c>
    </row>
    <row r="42" spans="1:19">
      <c r="A42" t="s">
        <v>64</v>
      </c>
      <c r="B42" s="1">
        <v>90000</v>
      </c>
      <c r="C42" s="2">
        <v>45750</v>
      </c>
      <c r="D42" s="2">
        <v>45839</v>
      </c>
      <c r="E42" t="s">
        <v>12</v>
      </c>
      <c r="F42" t="s">
        <v>25</v>
      </c>
      <c r="G42" t="s">
        <v>14</v>
      </c>
      <c r="H42" s="3">
        <v>1</v>
      </c>
      <c r="I42" t="s">
        <v>15</v>
      </c>
      <c r="J42" t="s">
        <v>16</v>
      </c>
      <c r="K42" t="s">
        <v>22</v>
      </c>
      <c r="L42" t="str">
        <f t="shared" si="8"/>
        <v>Closed</v>
      </c>
      <c r="M42">
        <f t="shared" si="5"/>
        <v>89</v>
      </c>
      <c r="N42" s="1">
        <f t="shared" si="9"/>
        <v>0</v>
      </c>
      <c r="O42" s="7">
        <f t="shared" si="6"/>
        <v>45870</v>
      </c>
      <c r="P42" s="7" t="str">
        <f>IF(Pipeline[[#This Row],[General Stage]]="Closed",
   "Closed",
  IF(O42&lt;'Forecast Sep-Nov 2025'!$J$6,"Overdue","Current")
)</f>
        <v>Closed</v>
      </c>
      <c r="Q42" s="7">
        <f>IF(L42="Closed",
  EDATE(D42,1),
  IF(
  G42="Negotiation/Review",
  'Forecast Sep-Nov 2025'!$J$6,
  IF(
    G42="Value Proposition",
    EDATE('Forecast Sep-Nov 2025'!$J$6,1),
    EDATE('Forecast Sep-Nov 2025'!$J$6,2)))
)</f>
        <v>45870</v>
      </c>
      <c r="R42" s="7">
        <f t="shared" si="7"/>
        <v>45870</v>
      </c>
      <c r="S42">
        <f>_xlfn.DAYS('Forecast Sep-Nov 2025'!$J$6,Pipeline[[#This Row],[Opportunity Create Date]])</f>
        <v>151</v>
      </c>
    </row>
    <row r="43" spans="1:19">
      <c r="A43" t="s">
        <v>81</v>
      </c>
      <c r="B43" s="1">
        <v>53000</v>
      </c>
      <c r="C43" s="2">
        <v>45801</v>
      </c>
      <c r="D43" s="2">
        <v>45840</v>
      </c>
      <c r="E43" t="s">
        <v>24</v>
      </c>
      <c r="F43" t="s">
        <v>13</v>
      </c>
      <c r="G43" t="s">
        <v>14</v>
      </c>
      <c r="H43" s="3">
        <v>1</v>
      </c>
      <c r="I43" t="s">
        <v>21</v>
      </c>
      <c r="J43" t="s">
        <v>16</v>
      </c>
      <c r="K43" t="s">
        <v>32</v>
      </c>
      <c r="L43" t="str">
        <f t="shared" si="8"/>
        <v>Closed</v>
      </c>
      <c r="M43">
        <f t="shared" si="5"/>
        <v>39</v>
      </c>
      <c r="N43" s="1">
        <f t="shared" si="9"/>
        <v>0</v>
      </c>
      <c r="O43" s="7">
        <f t="shared" si="6"/>
        <v>45870</v>
      </c>
      <c r="P43" s="7" t="str">
        <f>IF(Pipeline[[#This Row],[General Stage]]="Closed",
   "Closed",
  IF(O43&lt;'Forecast Sep-Nov 2025'!$J$6,"Overdue","Current")
)</f>
        <v>Closed</v>
      </c>
      <c r="Q43" s="7">
        <f>IF(L43="Closed",
  EDATE(D43,1),
  IF(
  G43="Negotiation/Review",
  'Forecast Sep-Nov 2025'!$J$6,
  IF(
    G43="Value Proposition",
    EDATE('Forecast Sep-Nov 2025'!$J$6,1),
    EDATE('Forecast Sep-Nov 2025'!$J$6,2)))
)</f>
        <v>45871</v>
      </c>
      <c r="R43" s="7">
        <f t="shared" si="7"/>
        <v>45870</v>
      </c>
      <c r="S43">
        <f>_xlfn.DAYS('Forecast Sep-Nov 2025'!$J$6,Pipeline[[#This Row],[Opportunity Create Date]])</f>
        <v>100</v>
      </c>
    </row>
    <row r="44" spans="1:19">
      <c r="A44" t="s">
        <v>46</v>
      </c>
      <c r="B44" s="1">
        <v>130000</v>
      </c>
      <c r="C44" s="2">
        <v>45787</v>
      </c>
      <c r="D44" s="2">
        <v>45901</v>
      </c>
      <c r="E44" t="s">
        <v>19</v>
      </c>
      <c r="F44" t="s">
        <v>13</v>
      </c>
      <c r="G44" s="78" t="s">
        <v>47</v>
      </c>
      <c r="H44" s="79">
        <v>0.1</v>
      </c>
      <c r="I44" s="78" t="s">
        <v>15</v>
      </c>
      <c r="J44" s="78" t="s">
        <v>16</v>
      </c>
      <c r="K44" s="78" t="s">
        <v>17</v>
      </c>
      <c r="L44" s="78" t="str">
        <f t="shared" si="8"/>
        <v>Open</v>
      </c>
      <c r="M44" s="78">
        <f t="shared" si="5"/>
        <v>114</v>
      </c>
      <c r="N44" s="80">
        <f t="shared" si="9"/>
        <v>13000</v>
      </c>
      <c r="O44" s="7">
        <f t="shared" si="6"/>
        <v>45931</v>
      </c>
      <c r="P44" s="7" t="str">
        <f>IF(Pipeline[[#This Row],[General Stage]]="Closed",
   "Closed",
  IF(O44&lt;'Forecast Sep-Nov 2025'!$J$6,"Overdue","Current")
)</f>
        <v>Current</v>
      </c>
      <c r="Q44" s="7">
        <f>IF(L44="Closed",
  EDATE(D44,1),
  IF(
  G44="Negotiation/Review",
  'Forecast Sep-Nov 2025'!$J$6,
  IF(
    G44="Value Proposition",
    EDATE('Forecast Sep-Nov 2025'!$J$6,1),
    EDATE('Forecast Sep-Nov 2025'!$J$6,2)))
)</f>
        <v>45962</v>
      </c>
      <c r="R44" s="7">
        <f t="shared" si="7"/>
        <v>45931</v>
      </c>
      <c r="S44">
        <f>_xlfn.DAYS('Forecast Sep-Nov 2025'!$J$6,Pipeline[[#This Row],[Opportunity Create Date]])</f>
        <v>114</v>
      </c>
    </row>
    <row r="45" spans="1:19">
      <c r="A45" t="s">
        <v>73</v>
      </c>
      <c r="B45" s="1">
        <v>105000</v>
      </c>
      <c r="C45" s="2">
        <v>45779</v>
      </c>
      <c r="D45" s="2">
        <v>45894</v>
      </c>
      <c r="E45" t="s">
        <v>12</v>
      </c>
      <c r="F45" t="s">
        <v>25</v>
      </c>
      <c r="G45" s="78" t="s">
        <v>38</v>
      </c>
      <c r="H45" s="79">
        <v>0.2</v>
      </c>
      <c r="I45" s="78" t="s">
        <v>15</v>
      </c>
      <c r="J45" s="78" t="s">
        <v>16</v>
      </c>
      <c r="K45" s="78" t="s">
        <v>17</v>
      </c>
      <c r="L45" s="78" t="str">
        <f t="shared" si="8"/>
        <v>Open</v>
      </c>
      <c r="M45" s="78">
        <f t="shared" si="5"/>
        <v>115</v>
      </c>
      <c r="N45" s="80">
        <f t="shared" si="9"/>
        <v>21000</v>
      </c>
      <c r="O45" s="7">
        <f t="shared" si="6"/>
        <v>45901</v>
      </c>
      <c r="P45" s="7" t="str">
        <f>IF(Pipeline[[#This Row],[General Stage]]="Closed",
   "Closed",
  IF(O45&lt;'Forecast Sep-Nov 2025'!$J$6,"Overdue","Current")
)</f>
        <v>Current</v>
      </c>
      <c r="Q45" s="7">
        <f>IF(L45="Closed",
  EDATE(D45,1),
  IF(
  G45="Negotiation/Review",
  'Forecast Sep-Nov 2025'!$J$6,
  IF(
    G45="Value Proposition",
    EDATE('Forecast Sep-Nov 2025'!$J$6,1),
    EDATE('Forecast Sep-Nov 2025'!$J$6,2)))
)</f>
        <v>45962</v>
      </c>
      <c r="R45" s="7">
        <f t="shared" si="7"/>
        <v>45901</v>
      </c>
      <c r="S45">
        <f>_xlfn.DAYS('Forecast Sep-Nov 2025'!$J$6,Pipeline[[#This Row],[Opportunity Create Date]])</f>
        <v>122</v>
      </c>
    </row>
    <row r="46" spans="1:19">
      <c r="A46" t="s">
        <v>76</v>
      </c>
      <c r="B46" s="1">
        <v>145000</v>
      </c>
      <c r="C46" s="2">
        <v>45788</v>
      </c>
      <c r="D46" s="2">
        <v>45905</v>
      </c>
      <c r="E46" t="s">
        <v>12</v>
      </c>
      <c r="F46" t="s">
        <v>34</v>
      </c>
      <c r="G46" s="78" t="s">
        <v>35</v>
      </c>
      <c r="H46" s="79">
        <v>0.6</v>
      </c>
      <c r="I46" s="78" t="s">
        <v>15</v>
      </c>
      <c r="J46" s="78" t="s">
        <v>16</v>
      </c>
      <c r="K46" s="78" t="s">
        <v>17</v>
      </c>
      <c r="L46" s="78" t="str">
        <f t="shared" si="8"/>
        <v>Open</v>
      </c>
      <c r="M46" s="78">
        <f t="shared" si="5"/>
        <v>117</v>
      </c>
      <c r="N46" s="80">
        <f t="shared" si="9"/>
        <v>87000</v>
      </c>
      <c r="O46" s="7">
        <f t="shared" si="6"/>
        <v>45931</v>
      </c>
      <c r="P46" s="7" t="str">
        <f>IF(Pipeline[[#This Row],[General Stage]]="Closed",
   "Closed",
  IF(O46&lt;'Forecast Sep-Nov 2025'!$J$6,"Overdue","Current")
)</f>
        <v>Current</v>
      </c>
      <c r="Q46" s="7">
        <f>IF(L46="Closed",
  EDATE(D46,1),
  IF(
  G46="Negotiation/Review",
  'Forecast Sep-Nov 2025'!$J$6,
  IF(
    G46="Value Proposition",
    EDATE('Forecast Sep-Nov 2025'!$J$6,1),
    EDATE('Forecast Sep-Nov 2025'!$J$6,2)))
)</f>
        <v>45931</v>
      </c>
      <c r="R46" s="7">
        <f t="shared" si="7"/>
        <v>45931</v>
      </c>
      <c r="S46">
        <f>_xlfn.DAYS('Forecast Sep-Nov 2025'!$J$6,Pipeline[[#This Row],[Opportunity Create Date]])</f>
        <v>113</v>
      </c>
    </row>
    <row r="47" spans="1:19">
      <c r="A47" t="s">
        <v>74</v>
      </c>
      <c r="B47" s="1">
        <v>88000</v>
      </c>
      <c r="C47" s="2">
        <v>45781</v>
      </c>
      <c r="D47" s="2">
        <v>45841</v>
      </c>
      <c r="E47" t="s">
        <v>19</v>
      </c>
      <c r="F47" t="s">
        <v>20</v>
      </c>
      <c r="G47" t="s">
        <v>14</v>
      </c>
      <c r="H47" s="3">
        <v>1</v>
      </c>
      <c r="I47" t="s">
        <v>21</v>
      </c>
      <c r="J47" t="s">
        <v>31</v>
      </c>
      <c r="K47" t="s">
        <v>22</v>
      </c>
      <c r="L47" t="str">
        <f t="shared" si="8"/>
        <v>Closed</v>
      </c>
      <c r="M47">
        <f t="shared" si="5"/>
        <v>60</v>
      </c>
      <c r="N47" s="1">
        <f t="shared" si="9"/>
        <v>0</v>
      </c>
      <c r="O47" s="7">
        <f t="shared" si="6"/>
        <v>45870</v>
      </c>
      <c r="P47" s="7" t="str">
        <f>IF(Pipeline[[#This Row],[General Stage]]="Closed",
   "Closed",
  IF(O47&lt;'Forecast Sep-Nov 2025'!$J$6,"Overdue","Current")
)</f>
        <v>Closed</v>
      </c>
      <c r="Q47" s="7">
        <f>IF(L47="Closed",
  EDATE(D47,1),
  IF(
  G47="Negotiation/Review",
  'Forecast Sep-Nov 2025'!$J$6,
  IF(
    G47="Value Proposition",
    EDATE('Forecast Sep-Nov 2025'!$J$6,1),
    EDATE('Forecast Sep-Nov 2025'!$J$6,2)))
)</f>
        <v>45872</v>
      </c>
      <c r="R47" s="7">
        <f t="shared" si="7"/>
        <v>45870</v>
      </c>
      <c r="S47">
        <f>_xlfn.DAYS('Forecast Sep-Nov 2025'!$J$6,Pipeline[[#This Row],[Opportunity Create Date]])</f>
        <v>120</v>
      </c>
    </row>
    <row r="48" spans="1:19">
      <c r="A48" t="s">
        <v>66</v>
      </c>
      <c r="B48" s="1">
        <v>110000</v>
      </c>
      <c r="C48" s="2">
        <v>45756</v>
      </c>
      <c r="D48" s="2">
        <v>45874</v>
      </c>
      <c r="E48" t="s">
        <v>24</v>
      </c>
      <c r="F48" t="s">
        <v>34</v>
      </c>
      <c r="G48" s="78" t="s">
        <v>35</v>
      </c>
      <c r="H48" s="79">
        <v>0.6</v>
      </c>
      <c r="I48" s="78" t="s">
        <v>15</v>
      </c>
      <c r="J48" s="78" t="s">
        <v>31</v>
      </c>
      <c r="K48" s="78" t="s">
        <v>17</v>
      </c>
      <c r="L48" s="78" t="str">
        <f t="shared" si="8"/>
        <v>Open</v>
      </c>
      <c r="M48" s="78">
        <f t="shared" si="5"/>
        <v>118</v>
      </c>
      <c r="N48" s="80">
        <f t="shared" si="9"/>
        <v>66000</v>
      </c>
      <c r="O48" s="7">
        <f t="shared" si="6"/>
        <v>45901</v>
      </c>
      <c r="P48" s="7" t="str">
        <f>IF(Pipeline[[#This Row],[General Stage]]="Closed",
   "Closed",
  IF(O48&lt;'Forecast Sep-Nov 2025'!$J$6,"Overdue","Current")
)</f>
        <v>Current</v>
      </c>
      <c r="Q48" s="7">
        <f>IF(L48="Closed",
  EDATE(D48,1),
  IF(
  G48="Negotiation/Review",
  'Forecast Sep-Nov 2025'!$J$6,
  IF(
    G48="Value Proposition",
    EDATE('Forecast Sep-Nov 2025'!$J$6,1),
    EDATE('Forecast Sep-Nov 2025'!$J$6,2)))
)</f>
        <v>45931</v>
      </c>
      <c r="R48" s="7">
        <f t="shared" si="7"/>
        <v>45901</v>
      </c>
      <c r="S48">
        <f>_xlfn.DAYS('Forecast Sep-Nov 2025'!$J$6,Pipeline[[#This Row],[Opportunity Create Date]])</f>
        <v>145</v>
      </c>
    </row>
    <row r="49" spans="1:19">
      <c r="A49" t="s">
        <v>56</v>
      </c>
      <c r="B49" s="1">
        <v>25000</v>
      </c>
      <c r="C49" s="2">
        <v>45816</v>
      </c>
      <c r="D49" s="2">
        <v>45858</v>
      </c>
      <c r="E49" t="s">
        <v>19</v>
      </c>
      <c r="F49" t="s">
        <v>29</v>
      </c>
      <c r="G49" t="s">
        <v>14</v>
      </c>
      <c r="H49" s="3">
        <v>1</v>
      </c>
      <c r="I49" t="s">
        <v>21</v>
      </c>
      <c r="J49" t="s">
        <v>16</v>
      </c>
      <c r="K49" t="s">
        <v>32</v>
      </c>
      <c r="L49" t="str">
        <f t="shared" si="8"/>
        <v>Closed</v>
      </c>
      <c r="M49">
        <f t="shared" si="5"/>
        <v>42</v>
      </c>
      <c r="N49" s="1">
        <f t="shared" si="9"/>
        <v>0</v>
      </c>
      <c r="O49" s="7">
        <f t="shared" si="6"/>
        <v>45870</v>
      </c>
      <c r="P49" s="7" t="str">
        <f>IF(Pipeline[[#This Row],[General Stage]]="Closed",
   "Closed",
  IF(O49&lt;'Forecast Sep-Nov 2025'!$J$6,"Overdue","Current")
)</f>
        <v>Closed</v>
      </c>
      <c r="Q49" s="7">
        <f>IF(L49="Closed",
  EDATE(D49,1),
  IF(
  G49="Negotiation/Review",
  'Forecast Sep-Nov 2025'!$J$6,
  IF(
    G49="Value Proposition",
    EDATE('Forecast Sep-Nov 2025'!$J$6,1),
    EDATE('Forecast Sep-Nov 2025'!$J$6,2)))
)</f>
        <v>45889</v>
      </c>
      <c r="R49" s="7">
        <f t="shared" si="7"/>
        <v>45870</v>
      </c>
      <c r="S49">
        <f>_xlfn.DAYS('Forecast Sep-Nov 2025'!$J$6,Pipeline[[#This Row],[Opportunity Create Date]])</f>
        <v>85</v>
      </c>
    </row>
    <row r="50" spans="1:19">
      <c r="A50" t="s">
        <v>23</v>
      </c>
      <c r="B50" s="1">
        <v>200000</v>
      </c>
      <c r="C50" s="2">
        <v>45749</v>
      </c>
      <c r="D50" s="2">
        <v>45868</v>
      </c>
      <c r="E50" t="s">
        <v>24</v>
      </c>
      <c r="F50" t="s">
        <v>25</v>
      </c>
      <c r="G50" t="s">
        <v>26</v>
      </c>
      <c r="H50" s="3">
        <v>0.8</v>
      </c>
      <c r="I50" t="s">
        <v>15</v>
      </c>
      <c r="J50" t="s">
        <v>27</v>
      </c>
      <c r="K50" t="s">
        <v>17</v>
      </c>
      <c r="L50" t="str">
        <f t="shared" si="8"/>
        <v>Open</v>
      </c>
      <c r="M50">
        <f t="shared" si="5"/>
        <v>119</v>
      </c>
      <c r="N50" s="1">
        <f t="shared" si="9"/>
        <v>160000</v>
      </c>
      <c r="O50" s="7">
        <f t="shared" si="6"/>
        <v>45870</v>
      </c>
      <c r="P50" s="7" t="str">
        <f>IF(Pipeline[[#This Row],[General Stage]]="Closed",
   "Closed",
  IF(O50&lt;'Forecast Sep-Nov 2025'!$J$6,"Overdue","Current")
)</f>
        <v>Overdue</v>
      </c>
      <c r="Q50" s="7">
        <f>IF(L50="Closed",
  EDATE(D50,1),
  IF(
  G50="Negotiation/Review",
  'Forecast Sep-Nov 2025'!$J$6,
  IF(
    G50="Value Proposition",
    EDATE('Forecast Sep-Nov 2025'!$J$6,1),
    EDATE('Forecast Sep-Nov 2025'!$J$6,2)))
)</f>
        <v>45901</v>
      </c>
      <c r="R50" s="7">
        <f t="shared" si="7"/>
        <v>45901</v>
      </c>
      <c r="S50">
        <f>_xlfn.DAYS('Forecast Sep-Nov 2025'!$J$6,Pipeline[[#This Row],[Opportunity Create Date]])</f>
        <v>152</v>
      </c>
    </row>
    <row r="53" spans="1:19">
      <c r="I53" s="251"/>
    </row>
    <row r="62" spans="1:19">
      <c r="H62" s="251"/>
    </row>
  </sheetData>
  <pageMargins left="0.7" right="0.7" top="0.75" bottom="0.75" header="0.3" footer="0.3"/>
  <pageSetup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AE6D0-5B00-405E-B7D7-72BDD8029371}">
  <sheetPr>
    <tabColor theme="0" tint="-4.9989318521683403E-2"/>
  </sheetPr>
  <dimension ref="B3:C32"/>
  <sheetViews>
    <sheetView showGridLines="0" zoomScale="110" zoomScaleNormal="110" workbookViewId="0">
      <pane xSplit="1" ySplit="3" topLeftCell="B9" activePane="bottomRight" state="frozen"/>
      <selection pane="topRight" activeCell="B1" sqref="B1"/>
      <selection pane="bottomLeft" activeCell="A4" sqref="A4"/>
      <selection pane="bottomRight" activeCell="B18" sqref="B18"/>
    </sheetView>
  </sheetViews>
  <sheetFormatPr defaultRowHeight="13.5"/>
  <cols>
    <col min="2" max="2" width="70.7109375" customWidth="1"/>
    <col min="3" max="3" width="122" bestFit="1" customWidth="1"/>
  </cols>
  <sheetData>
    <row r="3" spans="2:2" ht="19.5">
      <c r="B3" s="256" t="s">
        <v>257</v>
      </c>
    </row>
    <row r="5" spans="2:2" ht="18.75">
      <c r="B5" s="257" t="s">
        <v>227</v>
      </c>
    </row>
    <row r="6" spans="2:2">
      <c r="B6" s="4" t="s">
        <v>228</v>
      </c>
    </row>
    <row r="7" spans="2:2">
      <c r="B7" t="s">
        <v>238</v>
      </c>
    </row>
    <row r="8" spans="2:2">
      <c r="B8" s="4" t="s">
        <v>229</v>
      </c>
    </row>
    <row r="9" spans="2:2">
      <c r="B9" t="s">
        <v>239</v>
      </c>
    </row>
    <row r="10" spans="2:2">
      <c r="B10" t="s">
        <v>240</v>
      </c>
    </row>
    <row r="11" spans="2:2">
      <c r="B11" s="4" t="s">
        <v>230</v>
      </c>
    </row>
    <row r="12" spans="2:2">
      <c r="B12" t="s">
        <v>241</v>
      </c>
    </row>
    <row r="13" spans="2:2">
      <c r="B13" t="s">
        <v>242</v>
      </c>
    </row>
    <row r="14" spans="2:2">
      <c r="B14" s="4" t="s">
        <v>231</v>
      </c>
    </row>
    <row r="15" spans="2:2">
      <c r="B15" t="s">
        <v>243</v>
      </c>
    </row>
    <row r="16" spans="2:2">
      <c r="B16" t="s">
        <v>244</v>
      </c>
    </row>
    <row r="17" spans="2:3">
      <c r="B17" s="4" t="s">
        <v>233</v>
      </c>
    </row>
    <row r="18" spans="2:3" ht="54">
      <c r="B18" s="258" t="s">
        <v>246</v>
      </c>
    </row>
    <row r="19" spans="2:3">
      <c r="B19" s="4" t="s">
        <v>234</v>
      </c>
    </row>
    <row r="20" spans="2:3">
      <c r="B20" t="s">
        <v>245</v>
      </c>
    </row>
    <row r="23" spans="2:3" ht="18.75">
      <c r="B23" s="257" t="s">
        <v>235</v>
      </c>
    </row>
    <row r="24" spans="2:3">
      <c r="B24" s="103" t="s">
        <v>236</v>
      </c>
      <c r="C24" s="103" t="s">
        <v>237</v>
      </c>
    </row>
    <row r="25" spans="2:3">
      <c r="B25" s="31" t="s">
        <v>83</v>
      </c>
      <c r="C25" t="s">
        <v>247</v>
      </c>
    </row>
    <row r="26" spans="2:3">
      <c r="B26" s="31" t="s">
        <v>84</v>
      </c>
      <c r="C26" t="s">
        <v>248</v>
      </c>
    </row>
    <row r="27" spans="2:3">
      <c r="B27" s="31" t="s">
        <v>87</v>
      </c>
      <c r="C27" t="s">
        <v>249</v>
      </c>
    </row>
    <row r="28" spans="2:3">
      <c r="B28" s="32" t="s">
        <v>85</v>
      </c>
      <c r="C28" t="s">
        <v>250</v>
      </c>
    </row>
    <row r="29" spans="2:3">
      <c r="B29" s="32" t="s">
        <v>188</v>
      </c>
      <c r="C29" t="s">
        <v>251</v>
      </c>
    </row>
    <row r="30" spans="2:3">
      <c r="B30" s="33" t="s">
        <v>97</v>
      </c>
      <c r="C30" t="s">
        <v>252</v>
      </c>
    </row>
    <row r="31" spans="2:3">
      <c r="B31" s="33" t="s">
        <v>88</v>
      </c>
      <c r="C31" t="s">
        <v>254</v>
      </c>
    </row>
    <row r="32" spans="2:3">
      <c r="B32" s="33" t="s">
        <v>187</v>
      </c>
      <c r="C32" t="s">
        <v>253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Index</vt:lpstr>
      <vt:lpstr>Forecast Assumptions</vt:lpstr>
      <vt:lpstr>Forecast Sep-Nov 2025</vt:lpstr>
      <vt:lpstr>Dashboard</vt:lpstr>
      <vt:lpstr>Metrics &amp; Statistics</vt:lpstr>
      <vt:lpstr>Plan </vt:lpstr>
      <vt:lpstr>Data</vt:lpstr>
      <vt:lpstr>Assignment Approach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Silvana Bernhardt</dc:creator>
  <cp:lastModifiedBy>Silvana Bernhardt</cp:lastModifiedBy>
  <dcterms:created xsi:type="dcterms:W3CDTF">2025-09-12T18:54:27Z</dcterms:created>
  <dcterms:modified xsi:type="dcterms:W3CDTF">2026-03-15T21:05:54Z</dcterms:modified>
</cp:coreProperties>
</file>